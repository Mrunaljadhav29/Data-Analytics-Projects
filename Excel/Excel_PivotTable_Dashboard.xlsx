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jadha\Downloads\"/>
    </mc:Choice>
  </mc:AlternateContent>
  <xr:revisionPtr revIDLastSave="0" documentId="13_ncr:1_{A07BC722-65C6-45FD-BBAD-9605A30974CA}"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Supporting_pivots" sheetId="3" r:id="rId2"/>
    <sheet name="Sales_Dashboard" sheetId="4"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4" l="1"/>
</calcChain>
</file>

<file path=xl/sharedStrings.xml><?xml version="1.0" encoding="utf-8"?>
<sst xmlns="http://schemas.openxmlformats.org/spreadsheetml/2006/main" count="14078" uniqueCount="2104">
  <si>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</si>
  <si>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</si>
  <si>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</si>
  <si>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</si>
  <si>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</si>
  <si>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</si>
  <si>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</si>
  <si>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</si>
  <si>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</si>
  <si>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</si>
  <si>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</si>
  <si>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</si>
  <si>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</si>
  <si>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</si>
  <si>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</si>
  <si>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</si>
  <si>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</si>
  <si>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</si>
  <si>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</si>
  <si>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</si>
  <si>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</si>
  <si>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</si>
  <si>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</si>
  <si>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</si>
  <si>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</si>
  <si>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</si>
  <si>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</si>
  <si>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</si>
  <si>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</si>
  <si>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</si>
  <si>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</si>
  <si>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</si>
  <si>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</si>
  <si>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</si>
  <si>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</si>
  <si>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</si>
  <si>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</si>
  <si>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</si>
  <si>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</si>
  <si>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</si>
  <si>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</si>
  <si>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</si>
  <si>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</si>
  <si>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</si>
  <si>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</si>
  <si>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</si>
  <si>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</si>
  <si>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</si>
  <si>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</si>
  <si>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</si>
  <si>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</si>
  <si>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</si>
  <si>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</si>
  <si>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</si>
  <si>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</si>
  <si>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</si>
  <si>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</si>
  <si>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</si>
  <si>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</si>
  <si>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</si>
  <si>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</si>
  <si>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</si>
  <si>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</si>
  <si>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</si>
  <si>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</si>
  <si>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</si>
  <si>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</si>
  <si>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</si>
  <si>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</si>
  <si>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</si>
  <si>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</si>
  <si>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</si>
  <si>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</si>
  <si>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</si>
  <si>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</si>
  <si>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</si>
  <si>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</si>
  <si>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</si>
  <si>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</si>
  <si>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</si>
  <si>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</si>
  <si>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</si>
  <si>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</si>
  <si>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</si>
  <si>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</si>
  <si>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</si>
  <si>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</si>
  <si>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</si>
  <si>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</si>
  <si>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</si>
  <si>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</si>
  <si>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</si>
  <si>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</si>
  <si>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</si>
  <si>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</si>
  <si>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</si>
  <si>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</si>
  <si>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</si>
  <si>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</si>
  <si>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</si>
  <si>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</si>
  <si>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</si>
  <si>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</si>
  <si>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</si>
  <si>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</si>
  <si>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</si>
  <si>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</si>
  <si>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</si>
  <si>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</si>
  <si>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</si>
  <si>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</si>
  <si>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</si>
  <si>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</si>
  <si>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</si>
  <si>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</si>
  <si>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</si>
  <si>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</si>
  <si>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</si>
  <si>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</si>
  <si>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</si>
  <si>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</si>
  <si>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</si>
  <si>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</si>
  <si>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</si>
  <si>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</si>
  <si>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</si>
  <si>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</si>
  <si>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</si>
  <si>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</si>
  <si>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</si>
  <si>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</si>
  <si>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</si>
  <si>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</si>
  <si>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</si>
  <si>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</si>
  <si>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</si>
  <si>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</si>
  <si>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</si>
  <si>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</si>
  <si>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</si>
  <si>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</si>
  <si>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</si>
  <si>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</si>
  <si>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</si>
  <si>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</si>
  <si>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</si>
  <si>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</si>
  <si>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</si>
  <si>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</si>
  <si>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</si>
  <si>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</si>
  <si>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</si>
  <si>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</si>
  <si>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</si>
  <si>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</si>
  <si>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</si>
  <si>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</si>
  <si>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</si>
  <si>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</si>
  <si>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</si>
  <si>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</si>
  <si>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</si>
  <si>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</si>
  <si>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</si>
  <si>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</si>
  <si>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</si>
  <si>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</si>
  <si>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</si>
  <si>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</si>
  <si>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</si>
  <si>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</si>
  <si>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</si>
  <si>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</si>
  <si>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</si>
  <si>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</si>
  <si>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</si>
  <si>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</si>
  <si>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</si>
  <si>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</si>
  <si>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</si>
  <si>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</si>
  <si>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</si>
  <si>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</si>
  <si>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</si>
  <si>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</si>
  <si>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</si>
  <si>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</si>
  <si>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</si>
  <si>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</si>
  <si>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</si>
  <si>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</si>
  <si>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</si>
  <si>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</si>
  <si>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</si>
  <si>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</si>
  <si>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</si>
  <si>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</si>
  <si>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</si>
  <si>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</si>
  <si>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</si>
  <si>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</si>
  <si>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</si>
  <si>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</si>
  <si>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</si>
  <si>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</si>
  <si>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</si>
  <si>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</si>
  <si>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</si>
  <si>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</si>
  <si>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</si>
  <si>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</si>
  <si>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</si>
  <si>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</si>
  <si>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</si>
  <si>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</si>
  <si>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</si>
  <si>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</si>
  <si>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</si>
  <si>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</si>
  <si>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</si>
  <si>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</si>
  <si>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</si>
  <si>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</si>
  <si>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</si>
  <si>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</si>
  <si>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</si>
  <si>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</si>
  <si>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</si>
  <si>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</si>
  <si>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</si>
  <si>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</si>
  <si>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</si>
  <si>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</si>
  <si>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</si>
  <si>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</si>
  <si>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</si>
  <si>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</si>
  <si>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</si>
  <si>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</si>
  <si>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</si>
  <si>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</si>
  <si>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</si>
  <si>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</si>
  <si>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</si>
  <si>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</si>
  <si>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</si>
  <si>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</si>
  <si>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</si>
  <si>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</si>
  <si>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</si>
  <si>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</si>
  <si>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</si>
  <si>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</si>
  <si>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</si>
  <si>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</si>
  <si>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</si>
  <si>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</si>
  <si>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</si>
  <si>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</si>
  <si>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</si>
  <si>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</si>
  <si>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</si>
  <si>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</si>
  <si>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</si>
  <si>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</si>
  <si>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</si>
  <si>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</si>
  <si>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</si>
  <si>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</si>
  <si>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</si>
  <si>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</si>
  <si>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</si>
  <si>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</si>
  <si>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</si>
  <si>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</si>
  <si>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</si>
  <si>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</si>
  <si>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</si>
  <si>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</si>
  <si>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</si>
  <si>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</si>
  <si>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</si>
  <si>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</si>
  <si>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</si>
  <si>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</si>
  <si>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</si>
  <si>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</si>
  <si>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</si>
  <si>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</si>
  <si>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</si>
  <si>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</si>
  <si>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</si>
  <si>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</si>
  <si>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</si>
  <si>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</si>
  <si>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</si>
  <si>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</si>
  <si>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</si>
  <si>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</si>
  <si>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</si>
  <si>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</si>
  <si>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</si>
  <si>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</si>
  <si>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</si>
  <si>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</si>
  <si>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</si>
  <si>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</si>
  <si>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</si>
  <si>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</si>
  <si>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</si>
  <si>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</si>
  <si>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</si>
  <si>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</si>
  <si>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</si>
  <si>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</si>
  <si>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</si>
  <si>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</si>
  <si>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</si>
  <si>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</si>
  <si>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</si>
  <si>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</si>
  <si>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</si>
  <si>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</si>
  <si>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</si>
  <si>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</si>
  <si>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</si>
  <si>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</si>
  <si>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</si>
  <si>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</si>
  <si>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</si>
  <si>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</si>
  <si>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</si>
  <si>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</si>
  <si>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</si>
  <si>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</si>
  <si>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</si>
  <si>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</si>
  <si>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</si>
  <si>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</si>
  <si>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</si>
  <si>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</si>
  <si>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</si>
  <si>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</si>
  <si>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</si>
  <si>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</si>
  <si>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</si>
  <si>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</si>
  <si>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</si>
  <si>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</si>
  <si>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</si>
  <si>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</si>
  <si>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</si>
  <si>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</si>
  <si>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</si>
  <si>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</si>
  <si>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</si>
  <si>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</si>
  <si>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</si>
  <si>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</si>
  <si>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</si>
  <si>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</si>
  <si>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</si>
  <si>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</si>
  <si>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</si>
  <si>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</si>
  <si>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</si>
  <si>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</si>
  <si>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</si>
  <si>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</si>
  <si>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</si>
  <si>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</si>
  <si>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</si>
  <si>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</si>
  <si>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</si>
  <si>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</si>
  <si>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</si>
  <si>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</si>
  <si>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</si>
  <si>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</si>
  <si>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</si>
  <si>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</si>
  <si>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</si>
  <si>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</si>
  <si>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</si>
  <si>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</si>
  <si>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</si>
  <si>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</si>
  <si>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</si>
  <si>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</si>
  <si>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</si>
  <si>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</si>
  <si>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</si>
  <si>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</si>
  <si>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</si>
  <si>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</si>
  <si>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</si>
  <si>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</si>
  <si>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</si>
  <si>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</si>
  <si>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</si>
  <si>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</si>
  <si>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</si>
  <si>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</si>
  <si>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</si>
  <si>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</si>
  <si>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</si>
  <si>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</si>
  <si>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</si>
  <si>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</si>
  <si>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</si>
  <si>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</si>
  <si>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</si>
  <si>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</si>
  <si>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</si>
  <si>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</si>
  <si>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</si>
  <si>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</si>
  <si>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</si>
  <si>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</si>
  <si>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</si>
  <si>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</si>
  <si>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</si>
  <si>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</si>
  <si>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</si>
  <si>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</si>
  <si>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</si>
  <si>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</si>
  <si>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</si>
  <si>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</si>
  <si>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</si>
  <si>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</si>
  <si>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</si>
  <si>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</si>
  <si>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</si>
  <si>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</si>
  <si>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</si>
  <si>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</si>
  <si>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</si>
  <si>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</si>
  <si>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</si>
  <si>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</si>
  <si>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</si>
  <si>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</si>
  <si>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</si>
  <si>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</si>
  <si>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</si>
  <si>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</si>
  <si>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</si>
  <si>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</si>
  <si>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</si>
  <si>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</si>
  <si>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</si>
  <si>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</si>
  <si>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</si>
  <si>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</si>
  <si>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</si>
  <si>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</si>
  <si>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</si>
  <si>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</si>
  <si>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</si>
  <si>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</si>
  <si>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</si>
  <si>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</si>
  <si>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</si>
  <si>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</si>
  <si>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</si>
  <si>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</si>
  <si>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</si>
  <si>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</si>
  <si>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</si>
  <si>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</si>
  <si>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</si>
  <si>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</si>
  <si>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</si>
  <si>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</si>
  <si>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</si>
  <si>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</si>
  <si>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</si>
  <si>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</si>
  <si>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</si>
  <si>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</si>
  <si>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</si>
  <si>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</si>
  <si>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</si>
  <si>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</si>
  <si>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</si>
  <si>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</si>
  <si>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</si>
  <si>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</si>
  <si>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</si>
  <si>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</si>
  <si>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</si>
  <si>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</si>
  <si>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</si>
  <si>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</si>
  <si>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</si>
  <si>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</si>
  <si>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</si>
  <si>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</si>
  <si>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</si>
  <si>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</si>
  <si>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</si>
  <si>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</si>
  <si>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</si>
  <si>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</si>
  <si>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</si>
  <si>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</si>
  <si>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</si>
  <si>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</si>
  <si>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</si>
  <si>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</si>
  <si>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</si>
  <si>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</si>
  <si>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</si>
  <si>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</si>
  <si>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</si>
  <si>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</si>
  <si>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</si>
  <si>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</si>
  <si>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</si>
  <si>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</si>
  <si>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</si>
  <si>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</si>
  <si>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</si>
  <si>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</si>
  <si>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</si>
  <si>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</si>
  <si>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</si>
  <si>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</si>
  <si>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</si>
  <si>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</si>
  <si>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</si>
  <si>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</si>
  <si>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</si>
  <si>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</si>
  <si>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</si>
  <si>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</si>
  <si>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</si>
  <si>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</si>
  <si>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</si>
  <si>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</si>
  <si>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</si>
  <si>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</si>
  <si>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</si>
  <si>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</si>
  <si>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</si>
  <si>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</si>
  <si>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</si>
  <si>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</si>
  <si>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</si>
  <si>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</si>
  <si>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</si>
  <si>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</si>
  <si>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</si>
  <si>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</si>
  <si>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</si>
  <si>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</si>
  <si>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</si>
  <si>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</si>
  <si>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</si>
  <si>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</si>
  <si>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</si>
  <si>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</si>
  <si>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</si>
  <si>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</si>
  <si>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</si>
  <si>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</si>
  <si>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</si>
  <si>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</si>
  <si>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</si>
  <si>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</si>
  <si>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</si>
  <si>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</si>
  <si>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</si>
  <si>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</si>
  <si>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</si>
  <si>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</si>
  <si>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</si>
  <si>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</si>
  <si>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</si>
  <si>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</si>
  <si>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</si>
  <si>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</si>
  <si>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</si>
  <si>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</si>
  <si>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</si>
  <si>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</si>
  <si>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</si>
  <si>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</si>
  <si>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</si>
  <si>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</si>
  <si>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</si>
  <si>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</si>
  <si>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</si>
  <si>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</si>
  <si>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</si>
  <si>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</si>
  <si>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</si>
  <si>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</si>
  <si>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</si>
  <si>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</si>
  <si>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</si>
  <si>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</si>
  <si>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</si>
  <si>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</si>
  <si>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</si>
  <si>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</si>
  <si>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</si>
  <si>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</si>
  <si>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</si>
  <si>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</si>
  <si>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</si>
  <si>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</si>
  <si>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</si>
  <si>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</si>
  <si>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</si>
  <si>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</si>
  <si>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</si>
  <si>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</si>
  <si>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</si>
  <si>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</si>
  <si>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</si>
  <si>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</si>
  <si>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</si>
  <si>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</si>
  <si>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</si>
  <si>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</si>
  <si>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</si>
  <si>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</si>
  <si>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</si>
  <si>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</si>
  <si>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</si>
  <si>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</si>
  <si>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</si>
  <si>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</si>
  <si>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</si>
  <si>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</si>
  <si>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</si>
  <si>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</si>
  <si>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</si>
  <si>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</si>
  <si>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</si>
  <si>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</si>
  <si>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</si>
  <si>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</si>
  <si>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</si>
  <si>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</si>
  <si>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</si>
  <si>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</si>
  <si>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</si>
  <si>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</si>
  <si>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</si>
  <si>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</si>
  <si>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</si>
  <si>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</si>
  <si>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</si>
  <si>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</si>
  <si>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</si>
  <si>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</si>
  <si>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</si>
  <si>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</si>
  <si>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</si>
  <si>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</si>
  <si>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</si>
  <si>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</si>
  <si>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</si>
  <si>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</si>
  <si>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</si>
  <si>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</si>
  <si>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</si>
  <si>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</si>
  <si>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</si>
  <si>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</si>
  <si>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</si>
  <si>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</si>
  <si>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</si>
  <si>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</si>
  <si>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</si>
  <si>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</si>
  <si>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</si>
  <si>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</si>
  <si>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</si>
  <si>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</si>
  <si>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</si>
  <si>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</si>
  <si>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</si>
  <si>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</si>
  <si>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</si>
  <si>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</si>
  <si>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</si>
  <si>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</si>
  <si>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</si>
  <si>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</si>
  <si>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</si>
  <si>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</si>
  <si>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</si>
  <si>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</si>
  <si>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</si>
  <si>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</si>
  <si>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</si>
  <si>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</si>
  <si>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</si>
  <si>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</si>
  <si>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</si>
  <si>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</si>
  <si>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</si>
  <si>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</si>
  <si>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</si>
  <si>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</si>
  <si>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</si>
  <si>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</si>
  <si>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</si>
  <si>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</si>
  <si>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</si>
  <si>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</si>
  <si>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</si>
  <si>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</si>
  <si>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</si>
  <si>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</si>
  <si>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</si>
  <si>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</si>
  <si>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</si>
  <si>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</si>
  <si>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</si>
  <si>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</si>
  <si>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</si>
  <si>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</si>
  <si>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</si>
  <si>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</si>
  <si>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</si>
  <si>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</si>
  <si>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</si>
  <si>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</si>
  <si>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</si>
  <si>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</si>
  <si>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</si>
  <si>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</si>
  <si>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</si>
  <si>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</si>
  <si>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</si>
  <si>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</si>
  <si>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</si>
  <si>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</si>
  <si>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</si>
  <si>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</si>
  <si>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</si>
  <si>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</si>
  <si>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</si>
  <si>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</si>
  <si>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</si>
  <si>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</si>
  <si>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</si>
  <si>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</si>
  <si>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</si>
  <si>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</si>
  <si>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</si>
  <si>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</si>
  <si>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</si>
  <si>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</si>
  <si>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</si>
  <si>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</si>
  <si>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</si>
  <si>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</si>
  <si>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</si>
  <si>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</si>
  <si>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</si>
  <si>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</si>
  <si>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</si>
  <si>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</si>
  <si>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</si>
  <si>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</si>
  <si>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</si>
  <si>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</si>
  <si>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</si>
  <si>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</si>
  <si>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</si>
  <si>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</si>
  <si>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</si>
  <si>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</si>
  <si>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</si>
  <si>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</si>
  <si>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</si>
  <si>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</si>
  <si>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</si>
  <si>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</si>
  <si>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</si>
  <si>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</si>
  <si>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</si>
  <si>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</si>
  <si>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</si>
  <si>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</si>
  <si>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</si>
  <si>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</si>
  <si>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</si>
  <si>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</si>
  <si>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</si>
  <si>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</si>
  <si>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</si>
  <si>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</si>
  <si>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</si>
  <si>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</si>
  <si>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</si>
  <si>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</si>
  <si>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</si>
  <si>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</si>
  <si>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</si>
  <si>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</si>
  <si>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</si>
  <si>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</si>
  <si>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</si>
  <si>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</si>
  <si>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</si>
  <si>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</si>
  <si>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</si>
  <si>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</si>
  <si>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</si>
  <si>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</si>
  <si>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</si>
  <si>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</si>
  <si>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</si>
  <si>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</si>
  <si>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</si>
  <si>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</si>
  <si>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</si>
  <si>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</si>
  <si>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</si>
  <si>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</si>
  <si>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</si>
  <si>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</si>
  <si>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</si>
  <si>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</si>
  <si>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</si>
  <si>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</si>
  <si>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</si>
  <si>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</si>
  <si>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</si>
  <si>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</si>
  <si>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</si>
  <si>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</si>
  <si>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</si>
  <si>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</si>
  <si>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</si>
  <si>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</si>
  <si>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</si>
  <si>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</si>
  <si>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</si>
  <si>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</si>
  <si>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</si>
  <si>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</si>
  <si>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</si>
  <si>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</si>
  <si>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</si>
  <si>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</si>
  <si>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</si>
  <si>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</si>
  <si>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</si>
  <si>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</si>
  <si>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</si>
  <si>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</si>
  <si>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</si>
  <si>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</si>
  <si>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</si>
  <si>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</si>
  <si>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</si>
  <si>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</si>
  <si>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</si>
  <si>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</si>
  <si>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</si>
  <si>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</si>
  <si>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</si>
  <si>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</si>
  <si>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</si>
  <si>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</si>
  <si>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</si>
  <si>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</si>
  <si>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</si>
  <si>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</si>
  <si>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</si>
  <si>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</si>
  <si>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</si>
  <si>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</si>
  <si>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</si>
  <si>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</si>
  <si>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</si>
  <si>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</si>
  <si>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</si>
  <si>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</si>
  <si>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</si>
  <si>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</si>
  <si>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</si>
  <si>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</si>
  <si>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</si>
  <si>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</si>
  <si>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</si>
  <si>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</si>
  <si>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</si>
  <si>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</si>
  <si>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</si>
  <si>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</si>
  <si>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</si>
  <si>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</si>
  <si>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</si>
  <si>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</si>
  <si>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</si>
  <si>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</si>
  <si>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</si>
  <si>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</si>
  <si>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</si>
  <si>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</si>
  <si>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</si>
  <si>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</si>
  <si>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</si>
  <si>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</si>
  <si>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</si>
  <si>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</si>
  <si>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</si>
  <si>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</si>
  <si>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</si>
  <si>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</si>
  <si>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</si>
  <si>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</si>
  <si>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</si>
  <si>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</si>
  <si>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</si>
  <si>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</si>
  <si>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</si>
  <si>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</si>
  <si>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</si>
  <si>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</si>
  <si>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</si>
  <si>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</si>
  <si>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</si>
  <si>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</si>
  <si>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</si>
  <si>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</si>
  <si>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</si>
  <si>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</si>
  <si>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</si>
  <si>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</si>
  <si>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</si>
  <si>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</si>
  <si>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</si>
  <si>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</si>
  <si>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</si>
  <si>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</si>
  <si>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</si>
  <si>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</si>
  <si>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</si>
  <si>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</si>
  <si>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</si>
  <si>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</si>
  <si>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</si>
  <si>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</si>
  <si>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</si>
  <si>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</si>
  <si>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</si>
  <si>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</si>
  <si>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</si>
  <si>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</si>
  <si>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</si>
  <si>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</si>
  <si>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</si>
  <si>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</si>
  <si>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</si>
  <si>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</si>
  <si>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</si>
  <si>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</si>
  <si>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</si>
  <si>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</si>
  <si>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</si>
  <si>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</si>
  <si>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</si>
  <si>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</si>
  <si>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</si>
  <si>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</si>
  <si>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</si>
  <si>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</si>
  <si>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</si>
  <si>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</si>
  <si>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</si>
  <si>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</si>
  <si>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</si>
  <si>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</si>
  <si>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</si>
  <si>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</si>
  <si>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</si>
  <si>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</si>
  <si>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</si>
  <si>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</si>
  <si>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</si>
  <si>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</si>
  <si>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</si>
  <si>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</si>
  <si>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</si>
  <si>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</si>
  <si>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</si>
  <si>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</si>
  <si>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</si>
  <si>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</si>
  <si>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</si>
  <si>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</si>
  <si>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</si>
  <si>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</si>
  <si>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</si>
  <si>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</si>
  <si>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</si>
  <si>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</si>
  <si>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</si>
  <si>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</si>
  <si>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</si>
  <si>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</si>
  <si>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</si>
  <si>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</si>
  <si>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</si>
  <si>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</si>
  <si>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</si>
  <si>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</si>
  <si>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</si>
  <si>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</si>
  <si>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</si>
  <si>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</si>
  <si>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</si>
  <si>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</si>
  <si>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</si>
  <si>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</si>
  <si>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</si>
  <si>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</si>
  <si>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</si>
  <si>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</si>
  <si>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</si>
  <si>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</si>
  <si>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</si>
  <si>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</si>
  <si>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</si>
  <si>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</si>
  <si>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</si>
  <si>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</si>
  <si>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</si>
  <si>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</si>
  <si>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</si>
  <si>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</si>
  <si>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</si>
  <si>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</si>
  <si>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</si>
  <si>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</si>
  <si>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</si>
  <si>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</si>
  <si>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</si>
  <si>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</si>
  <si>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</si>
  <si>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</si>
  <si>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</si>
  <si>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</si>
  <si>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</si>
  <si>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</si>
  <si>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</si>
  <si>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</si>
  <si>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</si>
  <si>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</si>
  <si>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</si>
  <si>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</si>
  <si>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</si>
  <si>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</si>
  <si>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</si>
  <si>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</si>
  <si>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</si>
  <si>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</si>
  <si>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</si>
  <si>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</si>
  <si>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</si>
  <si>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</si>
  <si>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</si>
  <si>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</si>
  <si>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</si>
  <si>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</si>
  <si>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</si>
  <si>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</si>
  <si>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</si>
  <si>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</si>
  <si>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</si>
  <si>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</si>
  <si>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</si>
  <si>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</si>
  <si>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</si>
  <si>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</si>
  <si>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</si>
  <si>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</si>
  <si>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</si>
  <si>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</si>
  <si>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</si>
  <si>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</si>
  <si>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</si>
  <si>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</si>
  <si>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</si>
  <si>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</si>
  <si>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</si>
  <si>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</si>
  <si>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</si>
  <si>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</si>
  <si>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</si>
  <si>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</si>
  <si>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</si>
  <si>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</si>
  <si>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</si>
  <si>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</si>
  <si>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</si>
  <si>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</si>
  <si>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</si>
  <si>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</si>
  <si>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</si>
  <si>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</si>
  <si>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</si>
  <si>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</si>
  <si>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</si>
  <si>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</si>
  <si>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</si>
  <si>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</si>
  <si>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</si>
  <si>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</si>
  <si>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</si>
  <si>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</si>
  <si>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</si>
  <si>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</si>
  <si>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</si>
  <si>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</si>
  <si>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</si>
  <si>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</si>
  <si>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</si>
  <si>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</si>
  <si>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</si>
  <si>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</si>
  <si>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</si>
  <si>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</si>
  <si>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</si>
  <si>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</si>
  <si>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</si>
  <si>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</si>
  <si>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</si>
  <si>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</si>
  <si>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</si>
  <si>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</si>
  <si>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</si>
  <si>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</si>
  <si>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</si>
  <si>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</si>
  <si>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</si>
  <si>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</si>
  <si>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</si>
  <si>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</si>
  <si>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</si>
  <si>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</si>
  <si>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</si>
  <si>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</si>
  <si>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</si>
  <si>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</si>
  <si>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</si>
  <si>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</si>
  <si>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</si>
  <si>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</si>
  <si>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</si>
  <si>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</si>
  <si>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</si>
  <si>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</si>
  <si>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</si>
  <si>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</si>
  <si>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</si>
  <si>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</si>
  <si>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</si>
  <si>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</si>
  <si>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</si>
  <si>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</si>
  <si>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</si>
  <si>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</si>
  <si>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</si>
  <si>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</si>
  <si>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</si>
  <si>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</si>
  <si>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</si>
  <si>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</si>
  <si>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</si>
  <si>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</si>
  <si>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</si>
  <si>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</si>
  <si>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</si>
  <si>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</si>
  <si>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</si>
  <si>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</si>
  <si>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</si>
  <si>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</si>
  <si>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</si>
  <si>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</si>
  <si>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</si>
  <si>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</si>
  <si>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</si>
  <si>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</si>
  <si>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</si>
  <si>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</si>
  <si>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</si>
  <si>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</si>
  <si>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</si>
  <si>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</si>
  <si>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</si>
  <si>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</si>
  <si>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</si>
  <si>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</si>
  <si>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</si>
  <si>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</si>
  <si>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</si>
  <si>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</si>
  <si>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</si>
  <si>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</si>
  <si>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</si>
  <si>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</si>
  <si>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</si>
  <si>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</si>
  <si>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</si>
  <si>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</si>
  <si>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</si>
  <si>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</si>
  <si>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</si>
  <si>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</si>
  <si>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</si>
  <si>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</si>
  <si>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</si>
  <si>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</si>
  <si>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</si>
  <si>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</si>
  <si>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</si>
  <si>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</si>
  <si>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</si>
  <si>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</si>
  <si>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</si>
  <si>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</si>
  <si>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</si>
  <si>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</si>
  <si>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</si>
  <si>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</si>
  <si>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</si>
  <si>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</si>
  <si>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</si>
  <si>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</si>
  <si>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</si>
  <si>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</si>
  <si>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</si>
  <si>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</si>
  <si>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</si>
  <si>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</si>
  <si>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</si>
  <si>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</si>
  <si>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</si>
  <si>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</si>
  <si>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</si>
  <si>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</si>
  <si>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</si>
  <si>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</si>
  <si>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</si>
  <si>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</si>
  <si>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</si>
  <si>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</si>
  <si>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</si>
  <si>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</si>
  <si>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</si>
  <si>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</si>
  <si>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</si>
  <si>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</si>
  <si>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</si>
  <si>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</si>
  <si>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</si>
  <si>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</si>
  <si>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</si>
  <si>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</si>
  <si>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</si>
  <si>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</si>
  <si>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</si>
  <si>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</si>
  <si>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</si>
  <si>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</si>
  <si>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</si>
  <si>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</si>
  <si>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</si>
  <si>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</si>
  <si>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</si>
  <si>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</si>
  <si>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</si>
  <si>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</si>
  <si>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</si>
  <si>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</si>
  <si>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</si>
  <si>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</si>
  <si>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</si>
  <si>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</si>
  <si>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</si>
  <si>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</si>
  <si>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</si>
  <si>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</si>
  <si>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</si>
  <si>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</si>
  <si>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</si>
  <si>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</si>
  <si>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</si>
  <si>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</si>
  <si>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</si>
  <si>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</si>
  <si>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</si>
  <si>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</si>
  <si>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</si>
  <si>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</si>
  <si>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</si>
  <si>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</si>
  <si>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</si>
  <si>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</si>
  <si>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</si>
  <si>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</si>
  <si>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</si>
  <si>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</si>
  <si>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</si>
  <si>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</si>
  <si>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</si>
  <si>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</si>
  <si>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</si>
  <si>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</si>
  <si>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</si>
  <si>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</si>
  <si>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</si>
  <si>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</si>
  <si>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</si>
  <si>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</si>
  <si>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</si>
  <si>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</si>
  <si>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</si>
  <si>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</si>
  <si>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</si>
  <si>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</si>
  <si>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</si>
  <si>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</si>
  <si>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</si>
  <si>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</si>
  <si>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</si>
  <si>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</si>
  <si>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</si>
  <si>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</si>
  <si>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</si>
  <si>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</si>
  <si>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</si>
  <si>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</si>
  <si>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</si>
  <si>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</si>
  <si>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</si>
  <si>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</si>
  <si>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</si>
  <si>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</si>
  <si>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</si>
  <si>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</si>
  <si>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</si>
  <si>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</si>
  <si>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</si>
  <si>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</si>
  <si>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</si>
  <si>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</si>
  <si>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</si>
  <si>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</si>
  <si>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</si>
  <si>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</si>
  <si>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</si>
  <si>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</si>
  <si>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</si>
  <si>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</si>
  <si>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</si>
  <si>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</si>
  <si>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</si>
  <si>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</si>
  <si>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</si>
  <si>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</si>
  <si>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</si>
  <si>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</si>
  <si>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</si>
  <si>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</si>
  <si>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</si>
  <si>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</si>
  <si>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</si>
  <si>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</si>
  <si>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</si>
  <si>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</si>
  <si>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</si>
  <si>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</si>
  <si>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</si>
  <si>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</si>
  <si>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</si>
  <si>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</si>
  <si>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</si>
  <si>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</si>
  <si>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</si>
  <si>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</si>
  <si>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</si>
  <si>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</si>
  <si>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</si>
  <si>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</si>
  <si>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</si>
  <si>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</si>
  <si>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</si>
  <si>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</si>
  <si>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</si>
  <si>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</si>
  <si>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</si>
  <si>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</si>
  <si>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</si>
  <si>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</si>
  <si>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</si>
  <si>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</si>
  <si>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</si>
  <si>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</si>
  <si>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</si>
  <si>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</si>
  <si>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</si>
  <si>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</si>
  <si>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</si>
  <si>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</si>
  <si>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</si>
  <si>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</si>
  <si>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</si>
  <si>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</si>
  <si>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</si>
  <si>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</si>
  <si>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</si>
  <si>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</si>
  <si>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</si>
  <si>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</si>
  <si>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</si>
  <si>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</si>
  <si>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</si>
  <si>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</si>
  <si>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</si>
  <si>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</si>
  <si>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</si>
  <si>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</si>
  <si>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</si>
  <si>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</si>
  <si>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</si>
  <si>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</si>
  <si>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</si>
  <si>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</si>
  <si>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</si>
  <si>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</si>
  <si>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</si>
  <si>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</si>
  <si>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</si>
  <si>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</si>
  <si>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</si>
  <si>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</si>
  <si>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</si>
  <si>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</si>
  <si>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</si>
  <si>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</si>
  <si>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</si>
  <si>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</si>
  <si>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</si>
  <si>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</si>
  <si>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</si>
  <si>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</si>
  <si>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</si>
  <si>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</si>
  <si>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</si>
  <si>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</si>
  <si>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</si>
  <si>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</si>
  <si>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</si>
  <si>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</si>
  <si>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</si>
  <si>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</si>
  <si>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</si>
  <si>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</si>
  <si>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</si>
  <si>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</si>
  <si>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</si>
  <si>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</si>
  <si>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</si>
  <si>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</si>
  <si>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</si>
  <si>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</si>
  <si>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</si>
  <si>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</si>
  <si>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</si>
  <si>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</si>
  <si>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</si>
  <si>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</si>
  <si>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</si>
  <si>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</si>
  <si>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</si>
  <si>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</si>
  <si>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</si>
  <si>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</si>
  <si>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</si>
  <si>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</si>
  <si>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</si>
  <si>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</si>
  <si>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</si>
  <si>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</si>
  <si>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</si>
  <si>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</si>
  <si>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</si>
  <si>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</si>
  <si>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</si>
  <si>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</si>
  <si>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</si>
  <si>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</si>
  <si>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</si>
  <si>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</si>
  <si>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</si>
  <si>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</si>
  <si>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</si>
  <si>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</si>
  <si>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</si>
  <si>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</si>
  <si>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</si>
  <si>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</si>
  <si>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</si>
  <si>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</si>
  <si>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</si>
  <si>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</si>
  <si>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</si>
  <si>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</si>
  <si>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</si>
  <si>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</si>
  <si>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</si>
  <si>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</si>
  <si>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</si>
  <si>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</si>
  <si>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</si>
  <si>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</si>
  <si>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</si>
  <si>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</si>
  <si>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</si>
  <si>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</si>
  <si>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</si>
  <si>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</si>
  <si>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</si>
  <si>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</si>
  <si>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</si>
  <si>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</si>
  <si>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</si>
  <si>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</si>
  <si>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</si>
  <si>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</si>
  <si>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</si>
  <si>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</si>
  <si>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</si>
  <si>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</si>
  <si>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</si>
  <si>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</si>
  <si>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</si>
  <si>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</si>
  <si>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</si>
  <si>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</si>
  <si>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</si>
  <si>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</si>
  <si>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</si>
  <si>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</si>
  <si>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</si>
  <si>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</si>
  <si>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</si>
  <si>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</si>
  <si>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</si>
  <si>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</si>
  <si>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</si>
  <si>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</si>
  <si>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</si>
  <si>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</si>
  <si>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</si>
  <si>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</si>
  <si>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</si>
  <si>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</si>
  <si>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</si>
  <si>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</si>
  <si>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</si>
  <si>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</si>
  <si>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</si>
  <si>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</si>
  <si>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</si>
  <si>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</si>
  <si>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</si>
  <si>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</si>
  <si>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</si>
  <si>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</si>
  <si>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</si>
  <si>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</si>
  <si>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</si>
  <si>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</si>
  <si>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</si>
  <si>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</si>
  <si>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</si>
  <si>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</si>
  <si>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</si>
  <si>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</si>
  <si>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</si>
  <si>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</si>
  <si>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</si>
  <si>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</si>
  <si>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</si>
  <si>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</si>
  <si>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</si>
  <si>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</si>
  <si>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</si>
  <si>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</si>
  <si>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</si>
  <si>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</si>
  <si>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</si>
  <si>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</si>
  <si>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</si>
  <si>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</si>
  <si>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</si>
  <si>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</si>
  <si>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</si>
  <si>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</si>
  <si>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</si>
  <si>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</si>
  <si>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</si>
  <si>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</si>
  <si>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</si>
  <si>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</si>
  <si>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</si>
  <si>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</si>
  <si>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</si>
  <si>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</si>
  <si>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</si>
  <si>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</si>
  <si>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</si>
  <si>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</si>
  <si>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</si>
  <si>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</si>
  <si>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</si>
  <si>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</si>
  <si>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</si>
  <si>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</si>
  <si>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</si>
  <si>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</si>
  <si>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</si>
  <si>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</si>
  <si>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</si>
  <si>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</si>
  <si>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</si>
  <si>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</si>
  <si>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</si>
  <si>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</si>
  <si>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</si>
  <si>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</si>
  <si>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</si>
  <si>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</si>
  <si>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</si>
  <si>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</si>
  <si>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</si>
  <si>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</si>
  <si>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</si>
  <si>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</si>
  <si>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</si>
  <si>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</si>
  <si>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</si>
  <si>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</si>
  <si>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</si>
  <si>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</si>
  <si>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</si>
  <si>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</si>
  <si>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</si>
  <si>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</si>
  <si>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</si>
  <si>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</si>
  <si>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</si>
  <si>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</si>
  <si>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</si>
  <si>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</si>
  <si>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</si>
  <si>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</si>
  <si>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</si>
  <si>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</si>
  <si>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</si>
  <si>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</si>
  <si>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</si>
  <si>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</si>
  <si>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</si>
  <si>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</si>
  <si>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</si>
  <si>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</si>
  <si>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</si>
  <si>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</si>
  <si>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</si>
  <si>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</si>
  <si>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</si>
  <si>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</si>
  <si>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</si>
  <si>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</si>
  <si>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</si>
  <si>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</si>
  <si>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</si>
  <si>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</si>
  <si>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</si>
  <si>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</si>
  <si>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</si>
  <si>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</si>
  <si>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</si>
  <si>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</si>
  <si>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</si>
  <si>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</si>
  <si>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</si>
  <si>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</si>
  <si>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</si>
  <si>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</si>
  <si>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</si>
  <si>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</si>
  <si>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</si>
  <si>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</si>
  <si>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</si>
  <si>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</si>
  <si>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</si>
  <si>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</si>
  <si>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</si>
  <si>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</si>
  <si>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</si>
  <si>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</si>
  <si>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</si>
  <si>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</si>
  <si>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</si>
  <si>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</si>
  <si>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</si>
  <si>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</si>
  <si>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</si>
  <si>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</si>
  <si>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</si>
  <si>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</si>
  <si>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</si>
  <si>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</si>
  <si>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</si>
  <si>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</si>
  <si>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</si>
  <si>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</si>
  <si>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</si>
  <si>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</si>
  <si>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</si>
  <si>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</si>
  <si>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</si>
  <si>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</si>
  <si>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</si>
  <si>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</si>
  <si>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</si>
  <si>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</si>
  <si>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</si>
  <si>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</si>
  <si>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</si>
  <si>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</si>
  <si>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</si>
  <si>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</si>
  <si>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</si>
  <si>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</si>
  <si>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</si>
  <si>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</si>
  <si>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</si>
  <si>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</si>
  <si>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</si>
  <si>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</si>
  <si>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</si>
  <si>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</si>
  <si>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</si>
  <si>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</si>
  <si>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</si>
  <si>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</si>
  <si>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</si>
  <si>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</si>
  <si>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</si>
  <si>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</si>
  <si>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</si>
  <si>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</si>
  <si>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</si>
  <si>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</si>
  <si>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</si>
  <si>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</si>
  <si>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</si>
  <si>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</si>
  <si>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</si>
  <si>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</si>
  <si>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</si>
  <si>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</si>
  <si>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</si>
  <si>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</si>
  <si>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</si>
  <si>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</si>
  <si>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</si>
  <si>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</si>
  <si>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</si>
  <si>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</si>
  <si>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</si>
  <si>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</si>
  <si>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</si>
  <si>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</si>
  <si>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</si>
  <si>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</si>
  <si>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</si>
  <si>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</si>
  <si>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</si>
  <si>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</si>
  <si>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</si>
  <si>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</si>
  <si>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</si>
  <si>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</si>
  <si>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</si>
  <si>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</si>
  <si>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</si>
  <si>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</si>
  <si>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</si>
  <si>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</si>
  <si>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</si>
  <si>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</si>
  <si>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</si>
  <si>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</si>
  <si>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</si>
  <si>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</si>
  <si>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</si>
  <si>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</si>
  <si>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</si>
  <si>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</si>
  <si>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</si>
  <si>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</si>
  <si>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</si>
  <si>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</si>
  <si>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</si>
  <si>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</si>
  <si>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</si>
  <si>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</si>
  <si>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</si>
  <si>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</si>
  <si>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</si>
  <si>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</si>
  <si>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</si>
  <si>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</si>
  <si>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</si>
  <si>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</si>
  <si>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</si>
  <si>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</si>
  <si>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</si>
  <si>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</si>
  <si>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</si>
  <si>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</si>
  <si>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</si>
  <si>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</si>
  <si>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</si>
  <si>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</si>
  <si>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</si>
  <si>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</si>
  <si>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</si>
  <si>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</si>
  <si>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</si>
  <si>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</si>
  <si>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</si>
  <si>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</si>
  <si>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</si>
  <si>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</si>
  <si>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</si>
  <si>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</si>
  <si>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</si>
  <si>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</si>
  <si>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</si>
  <si>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</si>
  <si>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</si>
  <si>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</si>
  <si>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</si>
  <si>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</si>
  <si>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</si>
  <si>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</si>
  <si>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</si>
  <si>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</si>
  <si>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</si>
  <si>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</si>
  <si>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</si>
  <si>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</si>
  <si>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</si>
  <si>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</si>
  <si>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</si>
  <si>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</si>
  <si>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</si>
  <si>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</si>
  <si>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</si>
  <si>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</si>
  <si>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</si>
  <si>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</si>
  <si>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</si>
  <si>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</si>
  <si>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</si>
  <si>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</si>
  <si>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</si>
  <si>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</si>
  <si>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</si>
  <si>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</si>
  <si>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</si>
  <si>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</si>
  <si>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</si>
  <si>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</si>
  <si>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</si>
  <si>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</si>
  <si>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</si>
  <si>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</si>
  <si>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</si>
  <si>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</si>
  <si>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</si>
  <si>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</si>
  <si>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</si>
  <si>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</si>
  <si>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</si>
  <si>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</si>
  <si>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</si>
  <si>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</si>
  <si>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</si>
  <si>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</si>
  <si>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</si>
  <si>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</si>
  <si>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</si>
  <si>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</si>
  <si>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</si>
  <si>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</si>
  <si>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</si>
  <si>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</si>
  <si>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</si>
  <si>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</si>
  <si>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</si>
  <si>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</si>
  <si>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</si>
  <si>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</si>
  <si>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</si>
  <si>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</si>
  <si>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</si>
  <si>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</si>
  <si>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</si>
  <si>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</si>
  <si>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</si>
  <si>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</si>
  <si>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</si>
  <si>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</si>
  <si>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</si>
  <si>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</si>
  <si>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</si>
  <si>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</si>
  <si>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</si>
  <si>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</si>
  <si>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</si>
  <si>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</si>
  <si>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</si>
  <si>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</si>
  <si>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</si>
  <si>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</si>
  <si>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</si>
  <si>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</si>
  <si>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</si>
  <si>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</si>
  <si>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</si>
  <si>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</si>
  <si>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</si>
  <si>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</si>
  <si>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</si>
  <si>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</si>
  <si>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</si>
  <si>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</si>
  <si>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</si>
  <si>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</si>
  <si>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</si>
  <si>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</si>
  <si>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</si>
  <si>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</si>
  <si>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</si>
  <si>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</si>
  <si>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</si>
  <si>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</si>
  <si>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</si>
  <si>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</si>
  <si>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</si>
  <si>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</si>
  <si>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</si>
  <si>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</si>
  <si>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</si>
  <si>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</si>
  <si>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</si>
  <si>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</si>
  <si>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</si>
  <si>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</si>
  <si>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</si>
  <si>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</si>
  <si>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</si>
  <si>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</si>
  <si>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</si>
  <si>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</si>
  <si>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</si>
  <si>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</si>
  <si>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</si>
  <si>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</si>
  <si>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</si>
  <si>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</si>
  <si>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</si>
  <si>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</si>
  <si>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</si>
  <si>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</si>
  <si>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</si>
  <si>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</si>
  <si>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</si>
  <si>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</si>
  <si>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</si>
  <si>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</si>
  <si>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</si>
  <si>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</si>
  <si>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</si>
  <si>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</si>
  <si>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</si>
  <si>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</si>
  <si>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</si>
  <si>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</si>
  <si>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</si>
  <si>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</si>
  <si>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</si>
  <si>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</si>
  <si>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</si>
  <si>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</si>
  <si>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</si>
  <si>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</si>
  <si>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</si>
  <si>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</si>
  <si>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</si>
  <si>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</si>
  <si>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</si>
  <si>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</si>
  <si>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</si>
  <si>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</si>
  <si>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</si>
  <si>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</si>
  <si>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</si>
  <si>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</si>
  <si>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</si>
  <si>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</si>
  <si>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</si>
  <si>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</si>
  <si>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</si>
  <si>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</si>
  <si>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</si>
  <si>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</si>
  <si>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</si>
  <si>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</si>
  <si>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</si>
  <si>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</si>
  <si>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</si>
  <si>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</si>
  <si>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</si>
  <si>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</si>
  <si>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</si>
  <si>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</si>
  <si>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</si>
  <si>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</si>
  <si>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</si>
  <si>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</si>
  <si>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</si>
  <si>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</si>
  <si>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</si>
  <si>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</si>
  <si>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</si>
  <si>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</si>
  <si>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</si>
  <si>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</si>
  <si>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</si>
  <si>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</si>
  <si>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</si>
  <si>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</si>
  <si>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</si>
  <si>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</si>
  <si>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</si>
  <si>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</si>
  <si>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</si>
  <si>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</si>
  <si>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</si>
  <si>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</si>
  <si>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</si>
  <si>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</si>
  <si>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Total Revenue</t>
  </si>
  <si>
    <t xml:space="preserve"> </t>
  </si>
  <si>
    <t>Row Labels</t>
  </si>
  <si>
    <t>Grand Total</t>
  </si>
  <si>
    <t xml:space="preserve">Total Order </t>
  </si>
  <si>
    <t>PivotTable Build Guide</t>
  </si>
  <si>
    <t>Dashboard Element</t>
  </si>
  <si>
    <t>Total Orders</t>
  </si>
  <si>
    <t>Total Quantity Sold</t>
  </si>
  <si>
    <t>Average Order Value</t>
  </si>
  <si>
    <t>Revenue by Month</t>
  </si>
  <si>
    <t>Revenue by Region</t>
  </si>
  <si>
    <t>Revenue by Product Category</t>
  </si>
  <si>
    <t>Revenue by Sales Channel</t>
  </si>
  <si>
    <t>Top 5 Products by Revenue</t>
  </si>
  <si>
    <t>Total Quantity</t>
  </si>
  <si>
    <t>Average of Revenue</t>
  </si>
  <si>
    <t>Jan</t>
  </si>
  <si>
    <t>Feb</t>
  </si>
  <si>
    <t>Mar</t>
  </si>
  <si>
    <t>Apr</t>
  </si>
  <si>
    <t>May</t>
  </si>
  <si>
    <t>Jun</t>
  </si>
  <si>
    <t>Jul</t>
  </si>
  <si>
    <t>Aug</t>
  </si>
  <si>
    <t>Sep</t>
  </si>
  <si>
    <t>Oct</t>
  </si>
  <si>
    <t>Nov</t>
  </si>
  <si>
    <t>Dec</t>
  </si>
  <si>
    <t>Date updated throught:</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</si>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</sst>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 #,##0.00,,&quot;M&quot;;[&gt;=1000]\ \$\ #.00,&quot;K&quot;;\ \$\ ###.00"/>
  </numFmts>
  <fonts count="10">
    <font>
      <sz val="11"/>
      <color theme="1"/>
      <name val="Segoe UI"/>
      <family val="2"/>
      <scheme val="minor"/>
    </font>
    <font>
      <sz val="11"/>
      <color theme="1"/>
      <name val="Segoe UI"/>
      <family val="2"/>
      <scheme val="minor"/>
    </font>
    <font>
      <sz val="11"/>
      <name val="Carlito"/>
    </font>
    <font>
      <u/>
      <sz val="11"/>
      <color theme="10"/>
      <name val="Carlito"/>
    </font>
    <font>
      <sz val="11"/>
      <color rgb="FFFF0000"/>
      <name val="Segoe UI"/>
      <family val="2"/>
      <scheme val="minor"/>
    </font>
    <font>
      <b/>
      <u/>
      <sz val="16"/>
      <color theme="0"/>
      <name val="Segoe UI"/>
      <family val="2"/>
      <scheme val="minor"/>
    </font>
    <font>
      <b/>
      <sz val="14"/>
      <name val="Segoe UI"/>
      <family val="2"/>
      <scheme val="minor"/>
    </font>
    <font>
      <sz val="14"/>
      <color theme="1"/>
      <name val="Segoe UI"/>
      <family val="2"/>
      <scheme val="minor"/>
    </font>
    <font>
      <sz val="11"/>
      <color theme="0"/>
      <name val="Segoe UI"/>
      <family val="2"/>
      <scheme val="minor"/>
    </font>
    <font>
      <b/>
      <sz val="36"/>
      <color theme="0"/>
      <name val="Segoe U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19">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5" fillId="4" borderId="0" xfId="0" applyFont="1" applyFill="1"/>
    <xf numFmtId="0" fontId="6" fillId="2" borderId="1" xfId="0" applyFont="1" applyFill="1" applyBorder="1" applyAlignment="1">
      <alignment horizontal="center" vertical="center"/>
    </xf>
    <xf numFmtId="0" fontId="7" fillId="3" borderId="1" xfId="0" applyFont="1" applyFill="1" applyBorder="1" applyAlignment="1">
      <alignment vertical="center"/>
    </xf>
    <xf numFmtId="0" fontId="4" fillId="5" borderId="0" xfId="0" applyFont="1" applyFill="1"/>
    <xf numFmtId="0" fontId="0" fillId="5" borderId="0" xfId="0" applyFill="1"/>
    <xf numFmtId="0" fontId="8" fillId="5" borderId="0" xfId="0" applyFont="1" applyFill="1"/>
    <xf numFmtId="14" fontId="8" fillId="5" borderId="0" xfId="0" applyNumberFormat="1" applyFont="1" applyFill="1"/>
    <xf numFmtId="0" fontId="4" fillId="5" borderId="0" xfId="0" applyFont="1" applyFill="1" applyAlignment="1">
      <alignment horizontal="center"/>
    </xf>
    <xf numFmtId="0" fontId="9" fillId="5" borderId="0" xfId="0" applyFont="1" applyFill="1" applyAlignment="1">
      <alignment horizontal="center"/>
    </xf>
    <xf numFmtId="0" fontId="0" fillId="0" borderId="0" xfId="0" applyNumberFormat="1"/>
    <xf numFmtId="0" fontId="8" fillId="3" borderId="0" xfId="0" applyFont="1" applyFill="1"/>
    <xf numFmtId="0" fontId="0" fillId="3" borderId="0" xfId="0" applyFill="1"/>
  </cellXfs>
  <cellStyles count="4">
    <cellStyle name="Hyperlink 2" xfId="3" xr:uid="{C2F072EC-1101-470F-A900-443734426AAA}"/>
    <cellStyle name="Normal" xfId="0" builtinId="0"/>
    <cellStyle name="Normal 2" xfId="2" xr:uid="{C19670B5-4B4D-47E2-8561-30E10DF8D3E1}"/>
    <cellStyle name="Percent" xfId="1" builtinId="5"/>
  </cellStyles>
  <dxfs count="5">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0" formatCode="General"/>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[Excel_PivotTable_Dashboard_Mrunal.xlsx]Supporting_pivots!PT5_Revenue_Month</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IN" b="1">
                <a:solidFill>
                  <a:schemeClr val="accent1">
                    <a:lumMod val="75000"/>
                  </a:schemeClr>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Supporting_pivots!$D$9</c:f>
              <c:strCache>
                <c:ptCount val="1"/>
                <c:pt idx="0">
                  <c:v>Total</c:v>
                </c:pt>
              </c:strCache>
            </c:strRef>
          </c:tx>
          <c:spPr>
            <a:ln w="28575" cap="rnd">
              <a:solidFill>
                <a:schemeClr val="accent1"/>
              </a:solidFill>
              <a:round/>
            </a:ln>
            <a:effectLst/>
          </c:spPr>
          <c:marker>
            <c:symbol val="none"/>
          </c:marker>
          <c:dLbls>
            <c:numFmt formatCode="[&gt;=1000000]\ \ #,##0,,&quot;M&quot;;[&gt;=1000]\ \ #,&quot;K&quot;;\ \ ###"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Supporting_pivots!$C$10:$C$22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Supporting_pivots!$D$10:$D$22</c:f>
              <c:numCache>
                <c:formatCode>[&gt;=1000000]\ \$\ #,##0.00,,"M";[&gt;=1000]\ \$\ #.00,"K";\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D582-4E81-94AC-77420FC4A940}"/>
            </c:ext>
          </c:extLst>
        </c:ser>
        <c:dLbls>
          <c:dLblPos val="t"/>
          <c:showLegendKey val="0"/>
          <c:showVal val="1"/>
          <c:showCatName val="0"/>
          <c:showSerName val="0"/>
          <c:showPercent val="0"/>
          <c:showBubbleSize val="0"/>
        </c:dLbls>
        <c:smooth val="0"/>
        <c:axId val="1307802208"/>
        <c:axId val="1024630992"/>
      </c:lineChart>
      <c:catAx>
        <c:axId val="130780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30992"/>
        <c:crosses val="autoZero"/>
        <c:auto val="1"/>
        <c:lblAlgn val="ctr"/>
        <c:lblOffset val="100"/>
        <c:noMultiLvlLbl val="0"/>
      </c:catAx>
      <c:valAx>
        <c:axId val="1024630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[Excel_PivotTable_Dashboard_Mrunal.xlsx]Supporting_pivots!PT6_Revenue_Region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a:t>
            </a:r>
            <a:r>
              <a:rPr lang="en-IN" b="1" baseline="0">
                <a:solidFill>
                  <a:schemeClr val="accent1">
                    <a:lumMod val="75000"/>
                  </a:schemeClr>
                </a:solidFill>
              </a:rPr>
              <a:t> by Region</a:t>
            </a:r>
            <a:endParaRPr lang="en-IN"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Supporting_pivots!$G$9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Supporting_pivots!$F$10:$F$15</c:f>
              <c:strCache>
                <c:ptCount val="5"/>
                <c:pt idx="0">
                  <c:v>Central</c:v>
                </c:pt>
                <c:pt idx="1">
                  <c:v>East</c:v>
                </c:pt>
                <c:pt idx="2">
                  <c:v>North</c:v>
                </c:pt>
                <c:pt idx="3">
                  <c:v>South</c:v>
                </c:pt>
                <c:pt idx="4">
                  <c:v>West</c:v>
                </c:pt>
              </c:strCache>
            </c:strRef>
          </c:cat>
          <c:val>
            <c:numRef>
              <c:f>Supporting_pivots!$G$10:$G$15</c:f>
              <c:numCache>
                <c:formatCode>[&gt;=1000000]\ \$\ #,##0.00,,"M";[&gt;=1000]\ \$\ #.00,"K";\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746A-4F18-BF49-7CD7EEB0AB3E}"/>
            </c:ext>
          </c:extLst>
        </c:ser>
        <c:dLbls>
          <c:dLblPos val="outEnd"/>
          <c:showLegendKey val="0"/>
          <c:showVal val="1"/>
          <c:showCatName val="0"/>
          <c:showSerName val="0"/>
          <c:showPercent val="0"/>
          <c:showBubbleSize val="0"/>
        </c:dLbls>
        <c:gapWidth val="219"/>
        <c:overlap val="-27"/>
        <c:axId val="1720650304"/>
        <c:axId val="1719809104"/>
      </c:barChart>
      <c:catAx>
        <c:axId val="1720650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09104"/>
        <c:crosses val="autoZero"/>
        <c:auto val="1"/>
        <c:lblAlgn val="ctr"/>
        <c:lblOffset val="100"/>
        <c:noMultiLvlLbl val="0"/>
      </c:catAx>
      <c:valAx>
        <c:axId val="1719809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[Excel_PivotTable_Dashboard_Mrunal.xlsx]Supporting_pivots!PT7_Revenue_Product_Category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Supporting_pivots!$J$9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Supporting_pivots!$I$10:$I$16</c:f>
              <c:strCache>
                <c:ptCount val="6"/>
                <c:pt idx="0">
                  <c:v>Computers</c:v>
                </c:pt>
                <c:pt idx="1">
                  <c:v>Monitors</c:v>
                </c:pt>
                <c:pt idx="2">
                  <c:v>Networking</c:v>
                </c:pt>
                <c:pt idx="3">
                  <c:v>Storage</c:v>
                </c:pt>
                <c:pt idx="4">
                  <c:v>Accessories</c:v>
                </c:pt>
                <c:pt idx="5">
                  <c:v>Office Supplies</c:v>
                </c:pt>
              </c:strCache>
            </c:strRef>
          </c:cat>
          <c:val>
            <c:numRef>
              <c:f>Supporting_pivots!$J$10:$J$16</c:f>
              <c:numCache>
                <c:formatCode>[&gt;=1000000]\ \$\ #,##0.00,,"M";[&gt;=1000]\ \$\ #.00,"K";\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BBA9-4FA9-9708-888838F91384}"/>
            </c:ext>
          </c:extLst>
        </c:ser>
        <c:dLbls>
          <c:showLegendKey val="0"/>
          <c:showVal val="0"/>
          <c:showCatName val="0"/>
          <c:showSerName val="0"/>
          <c:showPercent val="0"/>
          <c:showBubbleSize val="0"/>
        </c:dLbls>
        <c:gapWidth val="219"/>
        <c:overlap val="-27"/>
        <c:axId val="1599880464"/>
        <c:axId val="1719859024"/>
      </c:barChart>
      <c:catAx>
        <c:axId val="159988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59024"/>
        <c:crosses val="autoZero"/>
        <c:auto val="1"/>
        <c:lblAlgn val="ctr"/>
        <c:lblOffset val="100"/>
        <c:noMultiLvlLbl val="0"/>
      </c:catAx>
      <c:valAx>
        <c:axId val="1719859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quot;K&quot;;\ \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88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[Excel_PivotTable_Dashboard_Mrunal.xlsx]Supporting_pivots!PT9_Revenue_Top_Products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Supporting_pivots!$P$9</c:f>
              <c:strCache>
                <c:ptCount val="1"/>
                <c:pt idx="0">
                  <c:v>Total</c:v>
                </c:pt>
              </c:strCache>
            </c:strRef>
          </c:tx>
          <c:spPr>
            <a:solidFill>
              <a:schemeClr val="accent1"/>
            </a:solidFill>
            <a:ln>
              <a:noFill/>
            </a:ln>
            <a:effectLst/>
          </c:spPr>
          <c:invertIfNegative val="0"/>
          <c:dLbls>
            <c:numFmt formatCode="[&gt;=1000000]\ \ #,##0,,&quot;M&quot;;[&gt;=1000]\ \ #,&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Supporting_pivots!$O$10:$O$15</c:f>
              <c:strCache>
                <c:ptCount val="5"/>
                <c:pt idx="0">
                  <c:v>Gaming Laptop</c:v>
                </c:pt>
                <c:pt idx="1">
                  <c:v>Laptop Air 13</c:v>
                </c:pt>
                <c:pt idx="2">
                  <c:v>Laptop Pro 14</c:v>
                </c:pt>
                <c:pt idx="3">
                  <c:v>All-in-One PC</c:v>
                </c:pt>
                <c:pt idx="4">
                  <c:v>Ultrawide Monitor</c:v>
                </c:pt>
              </c:strCache>
            </c:strRef>
          </c:cat>
          <c:val>
            <c:numRef>
              <c:f>Supporting_pivots!$P$10:$P$15</c:f>
              <c:numCache>
                <c:formatCode>[&gt;=1000000]\ \$\ #,##0.00,,"M";[&gt;=1000]\ \$\ #.00,"K";\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52BA-4190-B6FE-325AAFCEEE39}"/>
            </c:ext>
          </c:extLst>
        </c:ser>
        <c:dLbls>
          <c:dLblPos val="outEnd"/>
          <c:showLegendKey val="0"/>
          <c:showVal val="1"/>
          <c:showCatName val="0"/>
          <c:showSerName val="0"/>
          <c:showPercent val="0"/>
          <c:showBubbleSize val="0"/>
        </c:dLbls>
        <c:gapWidth val="182"/>
        <c:axId val="1720643344"/>
        <c:axId val="1719824944"/>
      </c:barChart>
      <c:catAx>
        <c:axId val="172064334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719824944"/>
        <c:crosses val="autoZero"/>
        <c:auto val="1"/>
        <c:lblAlgn val="ctr"/>
        <c:lblOffset val="100"/>
        <c:noMultiLvlLbl val="0"/>
      </c:catAx>
      <c:valAx>
        <c:axId val="1719824944"/>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0.46426134744278302"/>
              <c:y val="0.90149480937792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00,,&quot;M&quot;;[&gt;=1000]\ \$\ #.00,&quot;K&quot;;\ \$\ ###.00" sourceLinked="1"/>
        <c:majorTickMark val="none"/>
        <c:minorTickMark val="none"/>
        <c:tickLblPos val="nextTo"/>
        <c:crossAx val="172064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[Excel_PivotTable_Dashboard_Mrunal.xlsx]Supporting_pivots!PT8_Revenue_Sales_Channel</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Supporting_pivots!$M$9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0-4942-B788-A4B852AB7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0-4942-B788-A4B852AB70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10-4942-B788-A4B852AB70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10-4942-B788-A4B852AB70B6}"/>
              </c:ext>
            </c:extLst>
          </c:dPt>
          <c:dLbls>
            <c:numFmt formatCode="0%" sourceLinked="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Supporting_pivots!$L$10:$L$14</c:f>
              <c:strCache>
                <c:ptCount val="4"/>
                <c:pt idx="0">
                  <c:v>Corporate Sales</c:v>
                </c:pt>
                <c:pt idx="1">
                  <c:v>Marketplace</c:v>
                </c:pt>
                <c:pt idx="2">
                  <c:v>Online</c:v>
                </c:pt>
                <c:pt idx="3">
                  <c:v>Retail Store</c:v>
                </c:pt>
              </c:strCache>
            </c:strRef>
          </c:cat>
          <c:val>
            <c:numRef>
              <c:f>Supporting_pivots!$M$10:$M$14</c:f>
              <c:numCache>
                <c:formatCode>[&gt;=1000000]\ \$\ #,##0.00,,"M";[&gt;=1000]\ \$\ #.00,"K";\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1B10-4942-B788-A4B852AB70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350031783868394"/>
          <c:y val="0.28850039641306585"/>
          <c:w val="0.16408589040609389"/>
          <c:h val="0.39238334581833118"/>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3908</xdr:colOff>
      <xdr:row>26</xdr:row>
      <xdr:rowOff>100755</xdr:rowOff>
    </xdr:from>
    <xdr:to>
      <xdr:col>3</xdr:col>
      <xdr:colOff>381385</xdr:colOff>
      <xdr:row>37</xdr:row>
      <xdr:rowOff>51552</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4109C76-05FD-41BF-B5B4-0B5622308E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08" y="5723079"/>
              <a:ext cx="2385450" cy="2329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16</xdr:row>
      <xdr:rowOff>69571</xdr:rowOff>
    </xdr:from>
    <xdr:to>
      <xdr:col>3</xdr:col>
      <xdr:colOff>381385</xdr:colOff>
      <xdr:row>24</xdr:row>
      <xdr:rowOff>193495</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28302B7D-120E-4657-A7B5-E771050598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3908" y="3529463"/>
              <a:ext cx="2385450" cy="1853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38</xdr:row>
      <xdr:rowOff>175055</xdr:rowOff>
    </xdr:from>
    <xdr:to>
      <xdr:col>3</xdr:col>
      <xdr:colOff>381385</xdr:colOff>
      <xdr:row>44</xdr:row>
      <xdr:rowOff>51487</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88920A36-0C8D-48BE-B945-C0E8F31D0C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908" y="8392298"/>
              <a:ext cx="2385450" cy="1173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xdr:colOff>
      <xdr:row>3</xdr:row>
      <xdr:rowOff>8341</xdr:rowOff>
    </xdr:from>
    <xdr:to>
      <xdr:col>3</xdr:col>
      <xdr:colOff>381385</xdr:colOff>
      <xdr:row>14</xdr:row>
      <xdr:rowOff>162312</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4502D984-AA4B-4412-99C5-009574660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908" y="657071"/>
              <a:ext cx="2385450" cy="2532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168486</xdr:colOff>
      <xdr:row>3</xdr:row>
      <xdr:rowOff>8341</xdr:rowOff>
    </xdr:from>
    <xdr:to>
      <xdr:col>13</xdr:col>
      <xdr:colOff>537729</xdr:colOff>
      <xdr:row>9</xdr:row>
      <xdr:rowOff>150882</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DAA51964-7494-43FB-A968-98E97410332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523081" y="657071"/>
              <a:ext cx="3715864"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13</xdr:col>
      <xdr:colOff>656263</xdr:colOff>
      <xdr:row>3</xdr:row>
      <xdr:rowOff>8341</xdr:rowOff>
    </xdr:from>
    <xdr:to>
      <xdr:col>20</xdr:col>
      <xdr:colOff>571385</xdr:colOff>
      <xdr:row>9</xdr:row>
      <xdr:rowOff>150882</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3B041391-74E4-4F84-BC37-EE95B16A8193}"/>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357479" y="657071"/>
              <a:ext cx="4600392"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511643</xdr:colOff>
      <xdr:row>3</xdr:row>
      <xdr:rowOff>8341</xdr:rowOff>
    </xdr:from>
    <xdr:to>
      <xdr:col>8</xdr:col>
      <xdr:colOff>49952</xdr:colOff>
      <xdr:row>9</xdr:row>
      <xdr:rowOff>150882</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5DE72695-4061-47CE-95BF-384E6333B98C}"/>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2519616" y="657071"/>
              <a:ext cx="2884931"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21</xdr:col>
      <xdr:colOff>20594</xdr:colOff>
      <xdr:row>3</xdr:row>
      <xdr:rowOff>8341</xdr:rowOff>
    </xdr:from>
    <xdr:to>
      <xdr:col>28</xdr:col>
      <xdr:colOff>292947</xdr:colOff>
      <xdr:row>9</xdr:row>
      <xdr:rowOff>150882</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F892C1B5-F82C-459F-A06B-7FE5D9FBC82B}"/>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4076405" y="657071"/>
              <a:ext cx="5328326"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545757</xdr:colOff>
      <xdr:row>16</xdr:row>
      <xdr:rowOff>115379</xdr:rowOff>
    </xdr:from>
    <xdr:to>
      <xdr:col>16</xdr:col>
      <xdr:colOff>124541</xdr:colOff>
      <xdr:row>28</xdr:row>
      <xdr:rowOff>148460</xdr:rowOff>
    </xdr:to>
    <xdr:graphicFrame macro="">
      <xdr:nvGraphicFramePr>
        <xdr:cNvPr id="10" name="C1_Revenue_Month">
          <a:extLst>
            <a:ext uri="{FF2B5EF4-FFF2-40B4-BE49-F238E27FC236}">
              <a16:creationId xmlns:a16="http://schemas.microsoft.com/office/drawing/2014/main" id="{3DB32967-32A1-4B33-8679-FA8392C2B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370703</xdr:colOff>
      <xdr:row>16</xdr:row>
      <xdr:rowOff>80644</xdr:rowOff>
    </xdr:from>
    <xdr:to>
      <xdr:col>28</xdr:col>
      <xdr:colOff>660001</xdr:colOff>
      <xdr:row>28</xdr:row>
      <xdr:rowOff>113725</xdr:rowOff>
    </xdr:to>
    <xdr:graphicFrame macro="">
      <xdr:nvGraphicFramePr>
        <xdr:cNvPr id="11" name="C2_Revenue_Region">
          <a:extLst>
            <a:ext uri="{FF2B5EF4-FFF2-40B4-BE49-F238E27FC236}">
              <a16:creationId xmlns:a16="http://schemas.microsoft.com/office/drawing/2014/main" id="{210A438B-C1FA-4461-A053-04D328857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248588</xdr:colOff>
      <xdr:row>29</xdr:row>
      <xdr:rowOff>55136</xdr:rowOff>
    </xdr:from>
    <xdr:to>
      <xdr:col>20</xdr:col>
      <xdr:colOff>617994</xdr:colOff>
      <xdr:row>44</xdr:row>
      <xdr:rowOff>51487</xdr:rowOff>
    </xdr:to>
    <xdr:graphicFrame macro="">
      <xdr:nvGraphicFramePr>
        <xdr:cNvPr id="12" name="C3_Revenue_Product_Category">
          <a:extLst>
            <a:ext uri="{FF2B5EF4-FFF2-40B4-BE49-F238E27FC236}">
              <a16:creationId xmlns:a16="http://schemas.microsoft.com/office/drawing/2014/main" id="{AA43AAA8-B959-4417-8E22-221BC4C95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32230</xdr:colOff>
      <xdr:row>29</xdr:row>
      <xdr:rowOff>96325</xdr:rowOff>
    </xdr:from>
    <xdr:to>
      <xdr:col>28</xdr:col>
      <xdr:colOff>596633</xdr:colOff>
      <xdr:row>44</xdr:row>
      <xdr:rowOff>51487</xdr:rowOff>
    </xdr:to>
    <xdr:graphicFrame macro="">
      <xdr:nvGraphicFramePr>
        <xdr:cNvPr id="13" name="C5_Revenue_Products_top5">
          <a:extLst>
            <a:ext uri="{FF2B5EF4-FFF2-40B4-BE49-F238E27FC236}">
              <a16:creationId xmlns:a16="http://schemas.microsoft.com/office/drawing/2014/main" id="{37C79D46-11F3-4C38-83F7-604EAC13F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464946</xdr:colOff>
      <xdr:row>29</xdr:row>
      <xdr:rowOff>55136</xdr:rowOff>
    </xdr:from>
    <xdr:to>
      <xdr:col>12</xdr:col>
      <xdr:colOff>165027</xdr:colOff>
      <xdr:row>44</xdr:row>
      <xdr:rowOff>51487</xdr:rowOff>
    </xdr:to>
    <xdr:graphicFrame macro="">
      <xdr:nvGraphicFramePr>
        <xdr:cNvPr id="14" name="C4_Revenue by_Sales_Channel">
          <a:extLst>
            <a:ext uri="{FF2B5EF4-FFF2-40B4-BE49-F238E27FC236}">
              <a16:creationId xmlns:a16="http://schemas.microsoft.com/office/drawing/2014/main" id="{900C7EB9-C258-4592-A20D-B96F42B57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525162</xdr:colOff>
      <xdr:row>10</xdr:row>
      <xdr:rowOff>82379</xdr:rowOff>
    </xdr:from>
    <xdr:to>
      <xdr:col>9</xdr:col>
      <xdr:colOff>469216</xdr:colOff>
      <xdr:row>16</xdr:row>
      <xdr:rowOff>26919</xdr:rowOff>
    </xdr:to>
    <xdr:sp macro="" textlink="">
      <xdr:nvSpPr>
        <xdr:cNvPr id="24" name="Rectangle: Rounded Corners 23">
          <a:extLst>
            <a:ext uri="{FF2B5EF4-FFF2-40B4-BE49-F238E27FC236}">
              <a16:creationId xmlns:a16="http://schemas.microsoft.com/office/drawing/2014/main" id="{3DEA0ED9-D9E4-191F-D505-2678BF215DA7}"/>
            </a:ext>
          </a:extLst>
        </xdr:cNvPr>
        <xdr:cNvSpPr/>
      </xdr:nvSpPr>
      <xdr:spPr>
        <a:xfrm>
          <a:off x="2533135" y="2244811"/>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286265</xdr:colOff>
      <xdr:row>10</xdr:row>
      <xdr:rowOff>28831</xdr:rowOff>
    </xdr:from>
    <xdr:to>
      <xdr:col>28</xdr:col>
      <xdr:colOff>360405</xdr:colOff>
      <xdr:row>15</xdr:row>
      <xdr:rowOff>189614</xdr:rowOff>
    </xdr:to>
    <xdr:sp macro="" textlink="">
      <xdr:nvSpPr>
        <xdr:cNvPr id="51" name="Rectangle: Rounded Corners 50">
          <a:extLst>
            <a:ext uri="{FF2B5EF4-FFF2-40B4-BE49-F238E27FC236}">
              <a16:creationId xmlns:a16="http://schemas.microsoft.com/office/drawing/2014/main" id="{3515F7C4-B13D-5479-2D59-176DFCE489C4}"/>
            </a:ext>
          </a:extLst>
        </xdr:cNvPr>
        <xdr:cNvSpPr/>
      </xdr:nvSpPr>
      <xdr:spPr>
        <a:xfrm>
          <a:off x="15011400" y="2191263"/>
          <a:ext cx="4460789"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560172</xdr:colOff>
      <xdr:row>10</xdr:row>
      <xdr:rowOff>133867</xdr:rowOff>
    </xdr:from>
    <xdr:to>
      <xdr:col>28</xdr:col>
      <xdr:colOff>144164</xdr:colOff>
      <xdr:row>15</xdr:row>
      <xdr:rowOff>4122</xdr:rowOff>
    </xdr:to>
    <xdr:grpSp>
      <xdr:nvGrpSpPr>
        <xdr:cNvPr id="64" name="Group 63">
          <a:extLst>
            <a:ext uri="{FF2B5EF4-FFF2-40B4-BE49-F238E27FC236}">
              <a16:creationId xmlns:a16="http://schemas.microsoft.com/office/drawing/2014/main" id="{85FCD740-85B7-B0A1-F46C-6913E7201681}"/>
            </a:ext>
          </a:extLst>
        </xdr:cNvPr>
        <xdr:cNvGrpSpPr/>
      </xdr:nvGrpSpPr>
      <xdr:grpSpPr>
        <a:xfrm>
          <a:off x="15285307" y="2296299"/>
          <a:ext cx="3970641" cy="951472"/>
          <a:chOff x="2739081" y="2323071"/>
          <a:chExt cx="3619946" cy="951472"/>
        </a:xfrm>
      </xdr:grpSpPr>
      <xdr:grpSp>
        <xdr:nvGrpSpPr>
          <xdr:cNvPr id="65" name="Group 64">
            <a:extLst>
              <a:ext uri="{FF2B5EF4-FFF2-40B4-BE49-F238E27FC236}">
                <a16:creationId xmlns:a16="http://schemas.microsoft.com/office/drawing/2014/main" id="{63DF3685-21B2-0637-D71F-CE4AD7361579}"/>
              </a:ext>
            </a:extLst>
          </xdr:cNvPr>
          <xdr:cNvGrpSpPr/>
        </xdr:nvGrpSpPr>
        <xdr:grpSpPr>
          <a:xfrm>
            <a:off x="3573163" y="2323071"/>
            <a:ext cx="2785864" cy="951472"/>
            <a:chOff x="3696731" y="2363055"/>
            <a:chExt cx="2785864" cy="1055647"/>
          </a:xfrm>
        </xdr:grpSpPr>
        <xdr:sp macro="" textlink="Supporting_pivots!$I$5">
          <xdr:nvSpPr>
            <xdr:cNvPr id="67" name="TextBox 66">
              <a:extLst>
                <a:ext uri="{FF2B5EF4-FFF2-40B4-BE49-F238E27FC236}">
                  <a16:creationId xmlns:a16="http://schemas.microsoft.com/office/drawing/2014/main" id="{C64F78A0-7AAF-B361-E0FF-681096047B77}"/>
                </a:ext>
              </a:extLst>
            </xdr:cNvPr>
            <xdr:cNvSpPr txBox="1"/>
          </xdr:nvSpPr>
          <xdr:spPr>
            <a:xfrm>
              <a:off x="3995351"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B5BD49-0803-4B61-BEAD-0E75B89BF398}" type="TxLink">
                <a:rPr lang="en-US" sz="3400" b="1" i="0" u="none" strike="noStrike">
                  <a:solidFill>
                    <a:schemeClr val="accent1"/>
                  </a:solidFill>
                  <a:latin typeface="Segoe UI"/>
                  <a:cs typeface="Segoe UI"/>
                </a:rPr>
                <a:pPr algn="ctr"/>
                <a:t> $ 1.23K</a:t>
              </a:fld>
              <a:endParaRPr lang="en-IN" sz="3400" b="1">
                <a:solidFill>
                  <a:schemeClr val="accent1"/>
                </a:solidFill>
              </a:endParaRPr>
            </a:p>
          </xdr:txBody>
        </xdr:sp>
        <xdr:sp macro="" textlink="Supporting_pivots!$C$5">
          <xdr:nvSpPr>
            <xdr:cNvPr id="68" name="TextBox 67">
              <a:extLst>
                <a:ext uri="{FF2B5EF4-FFF2-40B4-BE49-F238E27FC236}">
                  <a16:creationId xmlns:a16="http://schemas.microsoft.com/office/drawing/2014/main" id="{B24BB2C4-B2FA-F953-A871-D8215ACB9295}"/>
                </a:ext>
              </a:extLst>
            </xdr:cNvPr>
            <xdr:cNvSpPr txBox="1"/>
          </xdr:nvSpPr>
          <xdr:spPr>
            <a:xfrm>
              <a:off x="3696731" y="2363055"/>
              <a:ext cx="2785864" cy="5369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Average</a:t>
              </a:r>
              <a:r>
                <a:rPr lang="en-IN" sz="2200" b="1" baseline="0">
                  <a:solidFill>
                    <a:schemeClr val="tx1"/>
                  </a:solidFill>
                </a:rPr>
                <a:t> Order Value</a:t>
              </a:r>
              <a:endParaRPr lang="en-IN" sz="2200" b="1">
                <a:solidFill>
                  <a:schemeClr val="tx1"/>
                </a:solidFill>
              </a:endParaRPr>
            </a:p>
          </xdr:txBody>
        </xdr:sp>
      </xdr:grpSp>
      <xdr:pic>
        <xdr:nvPicPr>
          <xdr:cNvPr id="66" name="Graphic 65" descr="Employee badge with solid fill">
            <a:extLst>
              <a:ext uri="{FF2B5EF4-FFF2-40B4-BE49-F238E27FC236}">
                <a16:creationId xmlns:a16="http://schemas.microsoft.com/office/drawing/2014/main" id="{9766DAF5-AC64-5EB7-7F11-1A053866107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2739081" y="2419863"/>
            <a:ext cx="828000" cy="828000"/>
          </a:xfrm>
          <a:prstGeom prst="rect">
            <a:avLst/>
          </a:prstGeom>
        </xdr:spPr>
      </xdr:pic>
    </xdr:grpSp>
    <xdr:clientData/>
  </xdr:twoCellAnchor>
  <xdr:twoCellAnchor>
    <xdr:from>
      <xdr:col>4</xdr:col>
      <xdr:colOff>61784</xdr:colOff>
      <xdr:row>10</xdr:row>
      <xdr:rowOff>55604</xdr:rowOff>
    </xdr:from>
    <xdr:to>
      <xdr:col>15</xdr:col>
      <xdr:colOff>586604</xdr:colOff>
      <xdr:row>16</xdr:row>
      <xdr:rowOff>144</xdr:rowOff>
    </xdr:to>
    <xdr:grpSp>
      <xdr:nvGrpSpPr>
        <xdr:cNvPr id="17" name="Group 16">
          <a:extLst>
            <a:ext uri="{FF2B5EF4-FFF2-40B4-BE49-F238E27FC236}">
              <a16:creationId xmlns:a16="http://schemas.microsoft.com/office/drawing/2014/main" id="{9AE600D5-9C93-140B-9C27-D1B941512EE3}"/>
            </a:ext>
          </a:extLst>
        </xdr:cNvPr>
        <xdr:cNvGrpSpPr/>
      </xdr:nvGrpSpPr>
      <xdr:grpSpPr>
        <a:xfrm>
          <a:off x="2739081" y="2218036"/>
          <a:ext cx="7887388" cy="1242000"/>
          <a:chOff x="2759675" y="2218036"/>
          <a:chExt cx="7887388" cy="1242000"/>
        </a:xfrm>
      </xdr:grpSpPr>
      <xdr:grpSp>
        <xdr:nvGrpSpPr>
          <xdr:cNvPr id="34" name="Group 33">
            <a:extLst>
              <a:ext uri="{FF2B5EF4-FFF2-40B4-BE49-F238E27FC236}">
                <a16:creationId xmlns:a16="http://schemas.microsoft.com/office/drawing/2014/main" id="{A865F278-E0A6-25CD-7287-F06E3D8C677E}"/>
              </a:ext>
            </a:extLst>
          </xdr:cNvPr>
          <xdr:cNvGrpSpPr/>
        </xdr:nvGrpSpPr>
        <xdr:grpSpPr>
          <a:xfrm>
            <a:off x="2759675" y="2419863"/>
            <a:ext cx="3253947" cy="854679"/>
            <a:chOff x="2739081" y="2419863"/>
            <a:chExt cx="3253947" cy="854679"/>
          </a:xfrm>
        </xdr:grpSpPr>
        <xdr:grpSp>
          <xdr:nvGrpSpPr>
            <xdr:cNvPr id="33" name="Group 32">
              <a:extLst>
                <a:ext uri="{FF2B5EF4-FFF2-40B4-BE49-F238E27FC236}">
                  <a16:creationId xmlns:a16="http://schemas.microsoft.com/office/drawing/2014/main" id="{8C6C9181-040F-F76A-36ED-93525C9E0EB3}"/>
                </a:ext>
              </a:extLst>
            </xdr:cNvPr>
            <xdr:cNvGrpSpPr/>
          </xdr:nvGrpSpPr>
          <xdr:grpSpPr>
            <a:xfrm>
              <a:off x="3449594" y="2428106"/>
              <a:ext cx="2543434" cy="846436"/>
              <a:chOff x="3573162" y="2479591"/>
              <a:chExt cx="2543434" cy="939111"/>
            </a:xfrm>
          </xdr:grpSpPr>
          <xdr:sp macro="" textlink="Supporting_pivots!$C$5">
            <xdr:nvSpPr>
              <xdr:cNvPr id="28" name="TextBox 27">
                <a:extLst>
                  <a:ext uri="{FF2B5EF4-FFF2-40B4-BE49-F238E27FC236}">
                    <a16:creationId xmlns:a16="http://schemas.microsoft.com/office/drawing/2014/main" id="{DC6AE8F1-45BA-F8A0-C2BE-0F9EB5ED0C39}"/>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7A86E-951C-42CD-A2B5-904499DE7B87}" type="TxLink">
                  <a:rPr lang="en-US" sz="3400" b="1" i="0" u="none" strike="noStrike">
                    <a:solidFill>
                      <a:schemeClr val="accent1"/>
                    </a:solidFill>
                    <a:latin typeface="Segoe UI"/>
                    <a:cs typeface="Segoe UI"/>
                  </a:rPr>
                  <a:pPr algn="ctr"/>
                  <a:t> $ 2.45M</a:t>
                </a:fld>
                <a:endParaRPr lang="en-IN" sz="3400" b="1">
                  <a:solidFill>
                    <a:schemeClr val="accent1"/>
                  </a:solidFill>
                </a:endParaRPr>
              </a:p>
            </xdr:txBody>
          </xdr:sp>
          <xdr:sp macro="" textlink="Supporting_pivots!$C$5">
            <xdr:nvSpPr>
              <xdr:cNvPr id="29" name="TextBox 28">
                <a:extLst>
                  <a:ext uri="{FF2B5EF4-FFF2-40B4-BE49-F238E27FC236}">
                    <a16:creationId xmlns:a16="http://schemas.microsoft.com/office/drawing/2014/main" id="{383AF64F-9014-11F2-B971-742336211F6C}"/>
                  </a:ext>
                </a:extLst>
              </xdr:cNvPr>
              <xdr:cNvSpPr txBox="1"/>
            </xdr:nvSpPr>
            <xdr:spPr>
              <a:xfrm>
                <a:off x="3573162" y="2479591"/>
                <a:ext cx="2543434" cy="310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TOTAL REVENUE</a:t>
                </a:r>
              </a:p>
            </xdr:txBody>
          </xdr:sp>
        </xdr:grpSp>
        <xdr:pic>
          <xdr:nvPicPr>
            <xdr:cNvPr id="32" name="Graphic 31" descr="Dollar with solid fill">
              <a:extLst>
                <a:ext uri="{FF2B5EF4-FFF2-40B4-BE49-F238E27FC236}">
                  <a16:creationId xmlns:a16="http://schemas.microsoft.com/office/drawing/2014/main" id="{E2E319F7-4F36-06DB-D597-B08FAE0F03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39081" y="2419863"/>
              <a:ext cx="828000" cy="828000"/>
            </a:xfrm>
            <a:prstGeom prst="rect">
              <a:avLst/>
            </a:prstGeom>
          </xdr:spPr>
        </xdr:pic>
      </xdr:grpSp>
      <xdr:grpSp>
        <xdr:nvGrpSpPr>
          <xdr:cNvPr id="16" name="Group 15">
            <a:extLst>
              <a:ext uri="{FF2B5EF4-FFF2-40B4-BE49-F238E27FC236}">
                <a16:creationId xmlns:a16="http://schemas.microsoft.com/office/drawing/2014/main" id="{EC868897-73B3-720F-9234-51B57F2CC7DC}"/>
              </a:ext>
            </a:extLst>
          </xdr:cNvPr>
          <xdr:cNvGrpSpPr/>
        </xdr:nvGrpSpPr>
        <xdr:grpSpPr>
          <a:xfrm>
            <a:off x="6687063" y="2218036"/>
            <a:ext cx="3960000" cy="1242000"/>
            <a:chOff x="6687063" y="2218036"/>
            <a:chExt cx="3960000" cy="1242000"/>
          </a:xfrm>
        </xdr:grpSpPr>
        <xdr:sp macro="" textlink="">
          <xdr:nvSpPr>
            <xdr:cNvPr id="53" name="Rectangle: Rounded Corners 52">
              <a:extLst>
                <a:ext uri="{FF2B5EF4-FFF2-40B4-BE49-F238E27FC236}">
                  <a16:creationId xmlns:a16="http://schemas.microsoft.com/office/drawing/2014/main" id="{DEBC3558-F2C5-D08E-CE18-D5F9FE523E32}"/>
                </a:ext>
              </a:extLst>
            </xdr:cNvPr>
            <xdr:cNvSpPr/>
          </xdr:nvSpPr>
          <xdr:spPr>
            <a:xfrm>
              <a:off x="6687063" y="2218036"/>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55" name="Group 54">
              <a:extLst>
                <a:ext uri="{FF2B5EF4-FFF2-40B4-BE49-F238E27FC236}">
                  <a16:creationId xmlns:a16="http://schemas.microsoft.com/office/drawing/2014/main" id="{7A6B1CB2-2D31-5DFA-F9F8-2E26BF28911D}"/>
                </a:ext>
              </a:extLst>
            </xdr:cNvPr>
            <xdr:cNvGrpSpPr/>
          </xdr:nvGrpSpPr>
          <xdr:grpSpPr>
            <a:xfrm>
              <a:off x="7782697" y="2426046"/>
              <a:ext cx="2543434" cy="846436"/>
              <a:chOff x="3573162" y="2479591"/>
              <a:chExt cx="2543434" cy="939111"/>
            </a:xfrm>
          </xdr:grpSpPr>
          <xdr:sp macro="" textlink="Supporting_pivots!$E$5">
            <xdr:nvSpPr>
              <xdr:cNvPr id="57" name="TextBox 56">
                <a:extLst>
                  <a:ext uri="{FF2B5EF4-FFF2-40B4-BE49-F238E27FC236}">
                    <a16:creationId xmlns:a16="http://schemas.microsoft.com/office/drawing/2014/main" id="{64E30D42-685B-E917-4F02-D6863D2F065C}"/>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B3035C-F97A-4894-9BCF-2E16F4683955}" type="TxLink">
                  <a:rPr lang="en-US" sz="3400" b="1" i="0" u="none" strike="noStrike">
                    <a:solidFill>
                      <a:schemeClr val="accent1"/>
                    </a:solidFill>
                    <a:latin typeface="Segoe UI"/>
                    <a:cs typeface="Segoe UI"/>
                  </a:rPr>
                  <a:pPr algn="ctr"/>
                  <a:t>2000</a:t>
                </a:fld>
                <a:endParaRPr lang="en-IN" sz="3400" b="1">
                  <a:solidFill>
                    <a:schemeClr val="accent1"/>
                  </a:solidFill>
                </a:endParaRPr>
              </a:p>
            </xdr:txBody>
          </xdr:sp>
          <xdr:sp macro="" textlink="Supporting_pivots!$C$5">
            <xdr:nvSpPr>
              <xdr:cNvPr id="58" name="TextBox 57">
                <a:extLst>
                  <a:ext uri="{FF2B5EF4-FFF2-40B4-BE49-F238E27FC236}">
                    <a16:creationId xmlns:a16="http://schemas.microsoft.com/office/drawing/2014/main" id="{C7D5B74E-EA9C-9778-2782-A2C9861042FD}"/>
                  </a:ext>
                </a:extLst>
              </xdr:cNvPr>
              <xdr:cNvSpPr txBox="1"/>
            </xdr:nvSpPr>
            <xdr:spPr>
              <a:xfrm>
                <a:off x="3573162" y="2479591"/>
                <a:ext cx="2543434" cy="310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Total</a:t>
                </a:r>
                <a:r>
                  <a:rPr lang="en-IN" sz="2200" b="1" baseline="0">
                    <a:solidFill>
                      <a:schemeClr val="tx1"/>
                    </a:solidFill>
                  </a:rPr>
                  <a:t> Orders</a:t>
                </a:r>
                <a:endParaRPr lang="en-IN" sz="2200" b="1">
                  <a:solidFill>
                    <a:schemeClr val="tx1"/>
                  </a:solidFill>
                </a:endParaRPr>
              </a:p>
            </xdr:txBody>
          </xdr:sp>
        </xdr:grpSp>
        <xdr:pic>
          <xdr:nvPicPr>
            <xdr:cNvPr id="70" name="Graphic 69" descr="Shopping cart with solid fill">
              <a:extLst>
                <a:ext uri="{FF2B5EF4-FFF2-40B4-BE49-F238E27FC236}">
                  <a16:creationId xmlns:a16="http://schemas.microsoft.com/office/drawing/2014/main" id="{20248B3A-8C9E-1303-CFE1-98FE8FF2C55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53649" y="2419865"/>
              <a:ext cx="828000" cy="828000"/>
            </a:xfrm>
            <a:prstGeom prst="rect">
              <a:avLst/>
            </a:prstGeom>
          </xdr:spPr>
        </xdr:pic>
      </xdr:grpSp>
    </xdr:grpSp>
    <xdr:clientData/>
  </xdr:twoCellAnchor>
  <xdr:twoCellAnchor>
    <xdr:from>
      <xdr:col>16</xdr:col>
      <xdr:colOff>98853</xdr:colOff>
      <xdr:row>10</xdr:row>
      <xdr:rowOff>57667</xdr:rowOff>
    </xdr:from>
    <xdr:to>
      <xdr:col>22</xdr:col>
      <xdr:colOff>42907</xdr:colOff>
      <xdr:row>16</xdr:row>
      <xdr:rowOff>2207</xdr:rowOff>
    </xdr:to>
    <xdr:grpSp>
      <xdr:nvGrpSpPr>
        <xdr:cNvPr id="15" name="Group 14">
          <a:extLst>
            <a:ext uri="{FF2B5EF4-FFF2-40B4-BE49-F238E27FC236}">
              <a16:creationId xmlns:a16="http://schemas.microsoft.com/office/drawing/2014/main" id="{4A353A2D-9242-2D43-E9EB-99E9422AA8EB}"/>
            </a:ext>
          </a:extLst>
        </xdr:cNvPr>
        <xdr:cNvGrpSpPr/>
      </xdr:nvGrpSpPr>
      <xdr:grpSpPr>
        <a:xfrm>
          <a:off x="10808042" y="2220099"/>
          <a:ext cx="3960000" cy="1242000"/>
          <a:chOff x="10849231" y="2199504"/>
          <a:chExt cx="3960000" cy="1242000"/>
        </a:xfrm>
      </xdr:grpSpPr>
      <xdr:sp macro="" textlink="">
        <xdr:nvSpPr>
          <xdr:cNvPr id="52" name="Rectangle: Rounded Corners 51">
            <a:extLst>
              <a:ext uri="{FF2B5EF4-FFF2-40B4-BE49-F238E27FC236}">
                <a16:creationId xmlns:a16="http://schemas.microsoft.com/office/drawing/2014/main" id="{FF5E761A-A584-A03C-F484-0D4554E36808}"/>
              </a:ext>
            </a:extLst>
          </xdr:cNvPr>
          <xdr:cNvSpPr/>
        </xdr:nvSpPr>
        <xdr:spPr>
          <a:xfrm>
            <a:off x="10849231" y="2199504"/>
            <a:ext cx="3960000" cy="124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60" name="Group 59">
            <a:extLst>
              <a:ext uri="{FF2B5EF4-FFF2-40B4-BE49-F238E27FC236}">
                <a16:creationId xmlns:a16="http://schemas.microsoft.com/office/drawing/2014/main" id="{AECFD71E-4B14-B0AF-2517-026EC57B5C3F}"/>
              </a:ext>
            </a:extLst>
          </xdr:cNvPr>
          <xdr:cNvGrpSpPr/>
        </xdr:nvGrpSpPr>
        <xdr:grpSpPr>
          <a:xfrm>
            <a:off x="12222892" y="2409570"/>
            <a:ext cx="2388973" cy="803188"/>
            <a:chOff x="3573162" y="2479590"/>
            <a:chExt cx="2702010" cy="939112"/>
          </a:xfrm>
        </xdr:grpSpPr>
        <xdr:sp macro="" textlink="Supporting_pivots!$G$5">
          <xdr:nvSpPr>
            <xdr:cNvPr id="62" name="TextBox 61">
              <a:extLst>
                <a:ext uri="{FF2B5EF4-FFF2-40B4-BE49-F238E27FC236}">
                  <a16:creationId xmlns:a16="http://schemas.microsoft.com/office/drawing/2014/main" id="{7D183B01-7FED-DD77-D6FF-CF180A882006}"/>
                </a:ext>
              </a:extLst>
            </xdr:cNvPr>
            <xdr:cNvSpPr txBox="1"/>
          </xdr:nvSpPr>
          <xdr:spPr>
            <a:xfrm>
              <a:off x="3748216" y="2945027"/>
              <a:ext cx="2265405" cy="473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6316A-FBD9-4D6B-925F-AA5E0A826607}" type="TxLink">
                <a:rPr lang="en-US" sz="3400" b="1" i="0" u="none" strike="noStrike">
                  <a:solidFill>
                    <a:schemeClr val="accent1"/>
                  </a:solidFill>
                  <a:latin typeface="Segoe UI"/>
                  <a:cs typeface="Segoe UI"/>
                </a:rPr>
                <a:pPr algn="ctr"/>
                <a:t>5552</a:t>
              </a:fld>
              <a:endParaRPr lang="en-IN" sz="3400" b="1">
                <a:solidFill>
                  <a:schemeClr val="accent1"/>
                </a:solidFill>
              </a:endParaRPr>
            </a:p>
          </xdr:txBody>
        </xdr:sp>
        <xdr:sp macro="" textlink="Supporting_pivots!$C$5">
          <xdr:nvSpPr>
            <xdr:cNvPr id="63" name="TextBox 62">
              <a:extLst>
                <a:ext uri="{FF2B5EF4-FFF2-40B4-BE49-F238E27FC236}">
                  <a16:creationId xmlns:a16="http://schemas.microsoft.com/office/drawing/2014/main" id="{A5AE60BA-E03F-4485-396F-683BA7E1AC53}"/>
                </a:ext>
              </a:extLst>
            </xdr:cNvPr>
            <xdr:cNvSpPr txBox="1"/>
          </xdr:nvSpPr>
          <xdr:spPr>
            <a:xfrm>
              <a:off x="3573162" y="2479590"/>
              <a:ext cx="2702010" cy="3952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tx1"/>
                  </a:solidFill>
                </a:rPr>
                <a:t>Quantity</a:t>
              </a:r>
              <a:r>
                <a:rPr lang="en-IN" sz="2200" b="1" baseline="0">
                  <a:solidFill>
                    <a:schemeClr val="tx1"/>
                  </a:solidFill>
                </a:rPr>
                <a:t> Sold</a:t>
              </a:r>
              <a:endParaRPr lang="en-IN" sz="2200" b="1">
                <a:solidFill>
                  <a:schemeClr val="tx1"/>
                </a:solidFill>
              </a:endParaRPr>
            </a:p>
          </xdr:txBody>
        </xdr:sp>
      </xdr:grpSp>
      <xdr:pic>
        <xdr:nvPicPr>
          <xdr:cNvPr id="74" name="Graphic 73" descr="Envelope with solid fill">
            <a:extLst>
              <a:ext uri="{FF2B5EF4-FFF2-40B4-BE49-F238E27FC236}">
                <a16:creationId xmlns:a16="http://schemas.microsoft.com/office/drawing/2014/main" id="{3CCA7B50-8B42-414F-E626-69FC6CAC2AF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41675" y="2368378"/>
            <a:ext cx="828000" cy="8280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al jadhav" refreshedDate="46288.494579861108" createdVersion="8" refreshedVersion="8" minRefreshableVersion="3" recordCount="2000" xr:uid="{B220C75E-902D-4A7E-AF0D-9F2961A042CF}">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938748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B3B72B-DE47-4D1F-8097-24CD91EF418A}" name="PT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4:C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3A1FBE-B116-4669-9143-0F7F627BC65D}" name="PT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G5"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39263-EABD-4E4A-8A8E-F7D22D402291}" name="PT9_Revenue_Top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O9:P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EAD83F-1A0E-4264-B071-C8C56C16D255}" name="PT8_Revenue_Sales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L9:M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Total Revenue" fld="11" baseField="0" baseItem="0" numFmtId="164"/>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8C995-8C47-4566-A0C1-5E835CABD067}" name="PT2_Total_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E5"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7FFDD0-B5CA-463B-A3E0-C075D34CB736}" name="PT6_Revenue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9:G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1A8DD6-272A-41CE-A1FE-85A4615FE673}" name="PT5_Revenue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9:D2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9"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7C7183-9548-44C7-9368-2705196A1A79}" name="PT4_AOV"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I5"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C71F40-12AB-4B9A-AF14-17CA869B31E2}" name="PT7_Revenue_Product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9:J1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Total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59D9F0-4F53-4B41-BF91-0449BFAADE93}" sourceName="Region">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BE46A86-F5F6-4598-B8C7-FE941A68EB0C}" sourceName="Sales Channel">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A249AD1-CC22-479A-9060-791C4182F8FB}" sourceName="Customer Type">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082859-E2E9-4F88-980D-665C1D00DF23}" sourceName="Product Category">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data>
    <tabular pivotCacheId="93874890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A4BEA3-821B-455F-8EC3-5C9A45830294}" cache="Slicer_Region" caption="Region" lockedPosition="1" rowHeight="273050"/>
  <slicer name="Sales Channel" xr10:uid="{03E1C6ED-1903-4E21-A0D0-765F2657D84B}" cache="Slicer_Sales_Channel" caption="Sales Channel" lockedPosition="1" rowHeight="273050"/>
  <slicer name="Customer Type" xr10:uid="{8A8D24B3-A931-4469-BAA5-11108B56927B}" cache="Slicer_Customer_Type" caption="Customer Type" lockedPosition="1" rowHeight="273050"/>
  <slicer name="Product Category" xr10:uid="{0A51EB41-5A01-414D-9E35-34EA2F875362}"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tableColumns count="12">
    <tableColumn id="1" xr3:uid="{EB25C69A-A2D3-4200-91EA-8E3165AF9E00}" name="Order ID"/>
    <tableColumn id="2" xr3:uid="{179518F6-FD6A-41B7-AE5E-75D1AB1D0993}" name="Date" dataDxfId="4"/>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dataDxfId="3"/>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C7FAD6C-888D-4D43-A77A-FA0BAC4456C6}" sourceName="Date">
  <pivotTables>
    <pivotTable tabId="3" name="PT1_Total_Revenue"/>
    <pivotTable tabId="3" name="PT2_Total_Order"/>
    <pivotTable tabId="3" name="PT3_Total_Quantity"/>
    <pivotTable tabId="3" name="PT4_AOV"/>
    <pivotTable tabId="3" name="PT5_Revenue_Month"/>
    <pivotTable tabId="3" name="PT6_Revenue_Region"/>
    <pivotTable tabId="3" name="PT7_Revenue_Product_Category"/>
    <pivotTable tabId="3" name="PT8_Revenue_Sales_Channel"/>
    <pivotTable tabId="3" name="PT9_Revenue_Top_Products"/>
  </pivotTables>
  <state minimalRefreshVersion="6" lastRefreshVersion="6" pivotCacheId="93874890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71C83AD-49B8-4AAB-BFDA-D3DA70C64546}" cache="NativeTimeline_Date" caption="Quarters" level="1" selectionLevel="1" scrollPosition="2026-01-01T00:00:00"/>
  <timeline name="Date 1" xr10:uid="{13CBD937-2432-44BA-872C-609D71BACE1F}" cache="NativeTimeline_Date" caption="Month" level="2" selectionLevel="2" scrollPosition="2027-05-23T00:00:00"/>
  <timeline name="Date 2" xr10:uid="{B8828121-ECA8-47B0-A783-6104D7C36C16}" cache="NativeTimeline_Date" caption="Years" level="0" selectionLevel="0" scrollPosition="2026-01-01T00:00:00"/>
  <timeline name="Date 3" xr10:uid="{31392A11-9178-42A3-BC62-DC30EF4E9341}" cache="NativeTimeline_Date" caption="Day" level="3" selectionLevel="3" scrollPosition="2027-09-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opLeftCell="A1888" zoomScale="86" zoomScaleNormal="140" workbookViewId="0">
      <selection activeCell="P1980" sqref="P1980"/>
    </sheetView>
  </sheetViews>
  <sheetFormatPr defaultRowHeight="16.8"/>
  <cols>
    <col min="1" max="1" width="9.796875" bestFit="1" customWidth="1"/>
    <col min="2" max="2" width="10.796875" style="1" bestFit="1" customWidth="1"/>
    <col min="3" max="3" width="13.5" customWidth="1"/>
    <col min="4" max="4" width="19.69921875" customWidth="1"/>
    <col min="5" max="5" width="14" customWidth="1"/>
    <col min="6" max="6" width="20.8984375" customWidth="1"/>
    <col min="7" max="7" width="18.3984375" bestFit="1" customWidth="1"/>
    <col min="8" max="8" width="12.296875" bestFit="1" customWidth="1"/>
    <col min="9" max="9" width="11.8984375" customWidth="1"/>
    <col min="10" max="10" width="12.8984375" style="2" customWidth="1"/>
    <col min="11" max="11" width="11.59765625" style="3" customWidth="1"/>
    <col min="12" max="12" width="11.69921875" style="2"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D970-BFA9-41FA-82BA-575FE8E37F2B}">
  <dimension ref="A2:P22"/>
  <sheetViews>
    <sheetView zoomScale="70" zoomScaleNormal="70" workbookViewId="0">
      <selection activeCell="A31" sqref="A31"/>
    </sheetView>
  </sheetViews>
  <sheetFormatPr defaultRowHeight="16.8"/>
  <cols>
    <col min="1" max="1" width="31.59765625" bestFit="1" customWidth="1"/>
    <col min="2" max="2" width="7.59765625" customWidth="1"/>
    <col min="3" max="3" width="14.09765625" bestFit="1" customWidth="1"/>
    <col min="4" max="4" width="16" bestFit="1" customWidth="1"/>
    <col min="5" max="5" width="11.69921875" bestFit="1" customWidth="1"/>
    <col min="6" max="7" width="14.09765625" bestFit="1" customWidth="1"/>
    <col min="9" max="10" width="14.09765625" bestFit="1" customWidth="1"/>
    <col min="12" max="12" width="14.19921875" bestFit="1" customWidth="1"/>
    <col min="13" max="13" width="14.09765625" bestFit="1" customWidth="1"/>
    <col min="15" max="15" width="16.59765625" bestFit="1" customWidth="1"/>
    <col min="16" max="16" width="14.09765625" bestFit="1" customWidth="1"/>
  </cols>
  <sheetData>
    <row r="2" spans="1:16" ht="24.6">
      <c r="A2" s="7" t="s">
        <v>2078</v>
      </c>
    </row>
    <row r="3" spans="1:16" ht="20.399999999999999">
      <c r="A3" s="8" t="s">
        <v>2079</v>
      </c>
    </row>
    <row r="4" spans="1:16" ht="20.399999999999999">
      <c r="A4" s="9" t="s">
        <v>2073</v>
      </c>
      <c r="C4" t="s">
        <v>2073</v>
      </c>
      <c r="E4" t="s">
        <v>2077</v>
      </c>
      <c r="G4" t="s">
        <v>2088</v>
      </c>
      <c r="I4" t="s">
        <v>2089</v>
      </c>
    </row>
    <row r="5" spans="1:16" ht="20.399999999999999">
      <c r="A5" s="9" t="s">
        <v>2080</v>
      </c>
      <c r="C5" s="4">
        <v>2452084.3012999957</v>
      </c>
      <c r="E5" s="16">
        <v>2000</v>
      </c>
      <c r="G5" s="16">
        <v>5552</v>
      </c>
      <c r="I5" s="4">
        <v>1226.0421506499979</v>
      </c>
    </row>
    <row r="6" spans="1:16" ht="20.399999999999999">
      <c r="A6" s="9" t="s">
        <v>2081</v>
      </c>
    </row>
    <row r="7" spans="1:16" ht="20.399999999999999">
      <c r="A7" s="9" t="s">
        <v>2082</v>
      </c>
    </row>
    <row r="8" spans="1:16" ht="20.399999999999999">
      <c r="A8" s="9" t="s">
        <v>2083</v>
      </c>
    </row>
    <row r="9" spans="1:16" ht="20.399999999999999">
      <c r="A9" s="9" t="s">
        <v>2084</v>
      </c>
      <c r="C9" s="5" t="s">
        <v>2075</v>
      </c>
      <c r="D9" t="s">
        <v>2072</v>
      </c>
      <c r="F9" s="5" t="s">
        <v>2075</v>
      </c>
      <c r="G9" t="s">
        <v>2073</v>
      </c>
      <c r="I9" s="5" t="s">
        <v>2075</v>
      </c>
      <c r="J9" t="s">
        <v>2073</v>
      </c>
      <c r="L9" s="5" t="s">
        <v>2075</v>
      </c>
      <c r="M9" t="s">
        <v>2073</v>
      </c>
      <c r="O9" s="5" t="s">
        <v>2075</v>
      </c>
      <c r="P9" t="s">
        <v>2073</v>
      </c>
    </row>
    <row r="10" spans="1:16" ht="20.399999999999999">
      <c r="A10" s="9" t="s">
        <v>2085</v>
      </c>
      <c r="C10" s="6" t="s">
        <v>2090</v>
      </c>
      <c r="D10" s="4">
        <v>168680.62810000006</v>
      </c>
      <c r="F10" s="6" t="s">
        <v>47</v>
      </c>
      <c r="G10" s="4">
        <v>556705.17709999974</v>
      </c>
      <c r="I10" s="6" t="s">
        <v>48</v>
      </c>
      <c r="J10" s="4">
        <v>1346491.2599999995</v>
      </c>
      <c r="L10" s="6" t="s">
        <v>35</v>
      </c>
      <c r="M10" s="4">
        <v>718745.00499999954</v>
      </c>
      <c r="O10" s="6" t="s">
        <v>49</v>
      </c>
      <c r="P10" s="4">
        <v>432576.06000000017</v>
      </c>
    </row>
    <row r="11" spans="1:16" ht="20.399999999999999">
      <c r="A11" s="9" t="s">
        <v>2086</v>
      </c>
      <c r="C11" s="6" t="s">
        <v>2091</v>
      </c>
      <c r="D11" s="4">
        <v>173605.24770000001</v>
      </c>
      <c r="F11" s="6" t="s">
        <v>20</v>
      </c>
      <c r="G11" s="4">
        <v>467808.84970000037</v>
      </c>
      <c r="I11" s="6" t="s">
        <v>60</v>
      </c>
      <c r="J11" s="4">
        <v>526744.59000000008</v>
      </c>
      <c r="L11" s="6" t="s">
        <v>41</v>
      </c>
      <c r="M11" s="4">
        <v>310402.93139999988</v>
      </c>
      <c r="O11" s="6" t="s">
        <v>96</v>
      </c>
      <c r="P11" s="4">
        <v>273532.5</v>
      </c>
    </row>
    <row r="12" spans="1:16" ht="20.399999999999999">
      <c r="A12" s="9" t="s">
        <v>2087</v>
      </c>
      <c r="C12" s="6" t="s">
        <v>2092</v>
      </c>
      <c r="D12" s="4">
        <v>236738.69749999995</v>
      </c>
      <c r="F12" s="6" t="s">
        <v>31</v>
      </c>
      <c r="G12" s="4">
        <v>561753.72460000007</v>
      </c>
      <c r="I12" s="6" t="s">
        <v>27</v>
      </c>
      <c r="J12" s="4">
        <v>259475.30900000001</v>
      </c>
      <c r="L12" s="6" t="s">
        <v>14</v>
      </c>
      <c r="M12" s="4">
        <v>791536.99460000044</v>
      </c>
      <c r="O12" s="6" t="s">
        <v>71</v>
      </c>
      <c r="P12" s="4">
        <v>263486.39999999991</v>
      </c>
    </row>
    <row r="13" spans="1:16">
      <c r="C13" s="6" t="s">
        <v>2093</v>
      </c>
      <c r="D13" s="4">
        <v>241034.34019999998</v>
      </c>
      <c r="F13" s="6" t="s">
        <v>86</v>
      </c>
      <c r="G13" s="4">
        <v>444494.30199999973</v>
      </c>
      <c r="I13" s="6" t="s">
        <v>23</v>
      </c>
      <c r="J13" s="4">
        <v>229837.62600000011</v>
      </c>
      <c r="L13" s="6" t="s">
        <v>21</v>
      </c>
      <c r="M13" s="4">
        <v>631399.37030000018</v>
      </c>
      <c r="O13" s="6" t="s">
        <v>99</v>
      </c>
      <c r="P13" s="4">
        <v>254994.00000000003</v>
      </c>
    </row>
    <row r="14" spans="1:16">
      <c r="C14" s="6" t="s">
        <v>2094</v>
      </c>
      <c r="D14" s="4">
        <v>153642.42719999998</v>
      </c>
      <c r="F14" s="6" t="s">
        <v>13</v>
      </c>
      <c r="G14" s="4">
        <v>421322.24789999996</v>
      </c>
      <c r="I14" s="6" t="s">
        <v>16</v>
      </c>
      <c r="J14" s="4">
        <v>72895.258099999992</v>
      </c>
      <c r="L14" s="6" t="s">
        <v>2076</v>
      </c>
      <c r="M14" s="4">
        <v>2452084.3012999999</v>
      </c>
      <c r="O14" s="6" t="s">
        <v>67</v>
      </c>
      <c r="P14" s="4">
        <v>190959.45000000004</v>
      </c>
    </row>
    <row r="15" spans="1:16">
      <c r="C15" s="6" t="s">
        <v>2095</v>
      </c>
      <c r="D15" s="4">
        <v>258658.95200000011</v>
      </c>
      <c r="F15" s="6" t="s">
        <v>2076</v>
      </c>
      <c r="G15" s="4">
        <v>2452084.3012999999</v>
      </c>
      <c r="I15" s="6" t="s">
        <v>73</v>
      </c>
      <c r="J15" s="4">
        <v>16640.258200000007</v>
      </c>
      <c r="O15" s="6" t="s">
        <v>2076</v>
      </c>
      <c r="P15" s="4">
        <v>1415548.41</v>
      </c>
    </row>
    <row r="16" spans="1:16">
      <c r="C16" s="6" t="s">
        <v>2096</v>
      </c>
      <c r="D16" s="4">
        <v>150713.13980000003</v>
      </c>
      <c r="I16" s="6" t="s">
        <v>2076</v>
      </c>
      <c r="J16" s="4">
        <v>2452084.3012999999</v>
      </c>
    </row>
    <row r="17" spans="3:8">
      <c r="C17" s="6" t="s">
        <v>2097</v>
      </c>
      <c r="D17" s="4">
        <v>185321.6210000001</v>
      </c>
    </row>
    <row r="18" spans="3:8">
      <c r="C18" s="6" t="s">
        <v>2098</v>
      </c>
      <c r="D18" s="4">
        <v>233080.36130000014</v>
      </c>
    </row>
    <row r="19" spans="3:8">
      <c r="C19" s="6" t="s">
        <v>2099</v>
      </c>
      <c r="D19" s="4">
        <v>189721.56950000001</v>
      </c>
    </row>
    <row r="20" spans="3:8">
      <c r="C20" s="6" t="s">
        <v>2100</v>
      </c>
      <c r="D20" s="4">
        <v>274368.30580000003</v>
      </c>
    </row>
    <row r="21" spans="3:8">
      <c r="C21" s="6" t="s">
        <v>2101</v>
      </c>
      <c r="D21" s="4">
        <v>186519.01119999995</v>
      </c>
    </row>
    <row r="22" spans="3:8">
      <c r="C22" s="6" t="s">
        <v>2076</v>
      </c>
      <c r="D22" s="4">
        <v>2452084.3013000004</v>
      </c>
      <c r="H22" t="s">
        <v>2074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9F29-1467-4438-B104-FE06E9C36EDF}">
  <dimension ref="A1:AC45"/>
  <sheetViews>
    <sheetView showGridLines="0" showRowColHeaders="0" tabSelected="1" zoomScale="74" zoomScaleNormal="100" workbookViewId="0">
      <selection activeCell="E1" sqref="E1:X3"/>
    </sheetView>
  </sheetViews>
  <sheetFormatPr defaultRowHeight="16.8"/>
  <cols>
    <col min="24" max="25" width="11.19921875" bestFit="1" customWidth="1"/>
  </cols>
  <sheetData>
    <row r="1" spans="1:29">
      <c r="A1" s="10" t="s">
        <v>2074</v>
      </c>
      <c r="B1" s="10"/>
      <c r="C1" s="10"/>
      <c r="D1" s="10"/>
      <c r="E1" s="15" t="s">
        <v>2103</v>
      </c>
      <c r="F1" s="14"/>
      <c r="G1" s="14"/>
      <c r="H1" s="14"/>
      <c r="I1" s="14"/>
      <c r="J1" s="14"/>
      <c r="K1" s="14"/>
      <c r="L1" s="14"/>
      <c r="M1" s="14"/>
      <c r="N1" s="14"/>
      <c r="O1" s="14"/>
      <c r="P1" s="14"/>
      <c r="Q1" s="14"/>
      <c r="R1" s="14"/>
      <c r="S1" s="14"/>
      <c r="T1" s="14"/>
      <c r="U1" s="14"/>
      <c r="V1" s="14"/>
      <c r="W1" s="14"/>
      <c r="X1" s="14"/>
      <c r="Y1" s="12" t="s">
        <v>2102</v>
      </c>
      <c r="Z1" s="11"/>
      <c r="AA1" s="11"/>
      <c r="AB1" s="11"/>
      <c r="AC1" s="11"/>
    </row>
    <row r="2" spans="1:29">
      <c r="A2" s="10"/>
      <c r="B2" s="10"/>
      <c r="C2" s="10"/>
      <c r="D2" s="10"/>
      <c r="E2" s="14"/>
      <c r="F2" s="14"/>
      <c r="G2" s="14"/>
      <c r="H2" s="14"/>
      <c r="I2" s="14"/>
      <c r="J2" s="14"/>
      <c r="K2" s="14"/>
      <c r="L2" s="14"/>
      <c r="M2" s="14"/>
      <c r="N2" s="14"/>
      <c r="O2" s="14"/>
      <c r="P2" s="14"/>
      <c r="Q2" s="14"/>
      <c r="R2" s="14"/>
      <c r="S2" s="14"/>
      <c r="T2" s="14"/>
      <c r="U2" s="14"/>
      <c r="V2" s="14"/>
      <c r="W2" s="14"/>
      <c r="X2" s="14"/>
      <c r="Y2" s="13">
        <f>MAX(Sales_Data[Date])</f>
        <v>46387</v>
      </c>
      <c r="Z2" s="11"/>
      <c r="AA2" s="11"/>
      <c r="AB2" s="11"/>
      <c r="AC2" s="11"/>
    </row>
    <row r="3" spans="1:29">
      <c r="A3" s="10"/>
      <c r="B3" s="10"/>
      <c r="C3" s="10"/>
      <c r="D3" s="10"/>
      <c r="E3" s="14"/>
      <c r="F3" s="14"/>
      <c r="G3" s="14"/>
      <c r="H3" s="14"/>
      <c r="I3" s="14"/>
      <c r="J3" s="14"/>
      <c r="K3" s="14"/>
      <c r="L3" s="14"/>
      <c r="M3" s="14"/>
      <c r="N3" s="14"/>
      <c r="O3" s="14"/>
      <c r="P3" s="14"/>
      <c r="Q3" s="14"/>
      <c r="R3" s="14"/>
      <c r="S3" s="14"/>
      <c r="T3" s="14"/>
      <c r="U3" s="14"/>
      <c r="V3" s="14"/>
      <c r="W3" s="14"/>
      <c r="X3" s="14"/>
      <c r="Y3" s="11"/>
      <c r="Z3" s="11"/>
      <c r="AA3" s="11"/>
      <c r="AB3" s="11"/>
      <c r="AC3" s="11"/>
    </row>
    <row r="45" spans="1:29">
      <c r="A45" s="17"/>
      <c r="AC45" s="18"/>
    </row>
  </sheetData>
  <sheetProtection sheet="1" objects="1" scenarios="1" selectLockedCells="1" pivotTables="0" selectUnlockedCells="1"/>
  <mergeCells count="1">
    <mergeCell ref="E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Mrunal jadhav</cp:lastModifiedBy>
  <dcterms:created xsi:type="dcterms:W3CDTF">2015-06-05T18:17:20Z</dcterms:created>
  <dcterms:modified xsi:type="dcterms:W3CDTF">2026-09-24T06:44:27Z</dcterms:modified>
</cp:coreProperties>
</file>